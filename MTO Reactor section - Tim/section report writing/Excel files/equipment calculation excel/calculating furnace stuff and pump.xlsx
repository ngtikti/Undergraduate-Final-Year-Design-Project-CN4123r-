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F5" i="1"/>
  <c r="D5" i="1"/>
  <c r="C5" i="1"/>
  <c r="E5" i="1" s="1"/>
  <c r="F2" i="1"/>
  <c r="E2" i="1" l="1"/>
  <c r="G2" i="1" s="1"/>
  <c r="I2" i="1" s="1"/>
  <c r="D9" i="1" l="1"/>
  <c r="B9" i="1"/>
  <c r="C9" i="1"/>
  <c r="J11" i="1"/>
</calcChain>
</file>

<file path=xl/sharedStrings.xml><?xml version="1.0" encoding="utf-8"?>
<sst xmlns="http://schemas.openxmlformats.org/spreadsheetml/2006/main" count="24" uniqueCount="24">
  <si>
    <t>volumetric flow rate m3/h</t>
  </si>
  <si>
    <t>calculating pump size</t>
  </si>
  <si>
    <t>delta P Pa</t>
  </si>
  <si>
    <t>density N/m3</t>
  </si>
  <si>
    <t>H m</t>
  </si>
  <si>
    <t>T1</t>
  </si>
  <si>
    <t>T2</t>
  </si>
  <si>
    <t>dT1</t>
  </si>
  <si>
    <t>dT2</t>
  </si>
  <si>
    <t>logmeantemp</t>
  </si>
  <si>
    <t>cooling coil calc</t>
  </si>
  <si>
    <t>U (W/m2K)</t>
  </si>
  <si>
    <t>A (m2)</t>
  </si>
  <si>
    <t>mass of steam calc</t>
  </si>
  <si>
    <t>H at 200</t>
  </si>
  <si>
    <t>dH</t>
  </si>
  <si>
    <t>Duty required  (W)(J/s)</t>
  </si>
  <si>
    <t>kJ/s</t>
  </si>
  <si>
    <t>mass of water (kg/s)</t>
  </si>
  <si>
    <t>delta H from http://www.engineeringtoolbox.com/saturated-steam-properties-d_101.html</t>
  </si>
  <si>
    <t>cost of water from https://energy.gov/sites/prod/files/2014/05/f16/steam15_benchmark.pdf</t>
  </si>
  <si>
    <t>cost of water (US$/s)</t>
  </si>
  <si>
    <t>cost of water annually (SG$/a)</t>
  </si>
  <si>
    <t>H at 25oC (kJ/kg)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</si>
</sst>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G6" sqref="G6"/>
    </sheetView>
  </sheetViews>
  <sheetFormatPr defaultRowHeight="15" x14ac:dyDescent="0.25"/>
  <cols>
    <col min="1" max="1" width="10" bestFit="1" customWidth="1"/>
    <col min="7" max="7" width="11" bestFit="1" customWidth="1"/>
  </cols>
  <sheetData>
    <row r="1" spans="1:10" x14ac:dyDescent="0.25">
      <c r="A1" t="s">
        <v>16</v>
      </c>
      <c r="B1" t="s">
        <v>10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11</v>
      </c>
      <c r="I1" t="s">
        <v>12</v>
      </c>
    </row>
    <row r="2" spans="1:10" x14ac:dyDescent="0.25">
      <c r="A2">
        <v>127300000</v>
      </c>
      <c r="C2">
        <v>550</v>
      </c>
      <c r="D2">
        <v>25</v>
      </c>
      <c r="E2">
        <f>C2-D2</f>
        <v>525</v>
      </c>
      <c r="F2">
        <f>C2-200</f>
        <v>350</v>
      </c>
      <c r="G2">
        <f>(E2-F2)/LN(E2/F2)</f>
        <v>431.60310591587552</v>
      </c>
      <c r="H2">
        <v>750</v>
      </c>
      <c r="I2">
        <f>A2/(G2*H2)</f>
        <v>393.26253914033776</v>
      </c>
    </row>
    <row r="3" spans="1:10" x14ac:dyDescent="0.25">
      <c r="A3" t="s">
        <v>13</v>
      </c>
    </row>
    <row r="4" spans="1:10" x14ac:dyDescent="0.25">
      <c r="A4" t="s">
        <v>23</v>
      </c>
      <c r="B4" t="s">
        <v>14</v>
      </c>
      <c r="C4" t="s">
        <v>15</v>
      </c>
      <c r="D4" t="s">
        <v>17</v>
      </c>
      <c r="E4" t="s">
        <v>18</v>
      </c>
      <c r="F4" t="s">
        <v>21</v>
      </c>
      <c r="G4" t="s">
        <v>22</v>
      </c>
    </row>
    <row r="5" spans="1:10" x14ac:dyDescent="0.25">
      <c r="A5">
        <v>267</v>
      </c>
      <c r="B5">
        <v>2700</v>
      </c>
      <c r="C5">
        <f>B5-A5</f>
        <v>2433</v>
      </c>
      <c r="D5">
        <f>A2/1000</f>
        <v>127300</v>
      </c>
      <c r="E5">
        <f>D5/C5</f>
        <v>52.322235922729142</v>
      </c>
      <c r="F5">
        <f>9.39*E5/453.592</f>
        <v>1.0831447541279977</v>
      </c>
      <c r="G5">
        <f>E5*3600*8000/1000000</f>
        <v>1506.8803945745992</v>
      </c>
    </row>
    <row r="6" spans="1:10" x14ac:dyDescent="0.25">
      <c r="A6" t="s">
        <v>19</v>
      </c>
      <c r="E6" t="s">
        <v>20</v>
      </c>
    </row>
    <row r="7" spans="1:10" x14ac:dyDescent="0.25">
      <c r="A7" t="s">
        <v>1</v>
      </c>
    </row>
    <row r="8" spans="1:10" x14ac:dyDescent="0.25">
      <c r="A8" t="s">
        <v>0</v>
      </c>
      <c r="B8" t="s">
        <v>3</v>
      </c>
      <c r="C8" t="s">
        <v>2</v>
      </c>
      <c r="D8" t="s">
        <v>4</v>
      </c>
    </row>
    <row r="9" spans="1:10" x14ac:dyDescent="0.25">
      <c r="A9">
        <v>455.7</v>
      </c>
      <c r="B9">
        <f>786.7*9.81</f>
        <v>7717.527000000001</v>
      </c>
      <c r="C9">
        <f>2938*1000</f>
        <v>2938000</v>
      </c>
      <c r="D9">
        <f>C9*1.2/B9</f>
        <v>456.83027736734834</v>
      </c>
    </row>
    <row r="11" spans="1:10" x14ac:dyDescent="0.25">
      <c r="J11">
        <f>116100000/(33*(500-25))</f>
        <v>7406.6985645933019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2017-03-20T13:01:33Z</dcterms:modified>
</cp:coreProperties>
</file>