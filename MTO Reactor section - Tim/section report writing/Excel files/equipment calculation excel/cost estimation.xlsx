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571"/>
  <workbookPr filterPrivacy="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7" i="1" l="1"/>
  <c r="G37" i="1"/>
  <c r="K37" i="1"/>
  <c r="B5" i="1" l="1"/>
  <c r="A5" i="1"/>
  <c r="E5" i="1"/>
  <c r="G57" i="1"/>
  <c r="C56" i="1"/>
  <c r="C53" i="1"/>
  <c r="C50" i="1"/>
  <c r="D50" i="1"/>
  <c r="B50" i="1"/>
  <c r="C48" i="1"/>
  <c r="B48" i="1"/>
  <c r="B66" i="1"/>
  <c r="B63" i="1"/>
  <c r="B60" i="1"/>
  <c r="G33" i="1" l="1"/>
  <c r="G29" i="1"/>
  <c r="G25" i="1"/>
  <c r="I20" i="1"/>
  <c r="H16" i="1"/>
  <c r="P37" i="1" l="1"/>
  <c r="F37" i="1"/>
  <c r="F33" i="1"/>
  <c r="F29" i="1"/>
  <c r="F25" i="1"/>
  <c r="E33" i="1"/>
  <c r="E29" i="1"/>
  <c r="E25" i="1"/>
  <c r="H20" i="1" l="1"/>
  <c r="G20" i="1"/>
  <c r="F20" i="1"/>
  <c r="G16" i="1"/>
  <c r="E16" i="1"/>
  <c r="A16" i="1"/>
  <c r="E12" i="1"/>
  <c r="H12" i="1" s="1"/>
  <c r="I12" i="1" s="1"/>
  <c r="G9" i="1"/>
  <c r="I9" i="1"/>
  <c r="I2" i="1"/>
  <c r="C9" i="1"/>
  <c r="B9" i="1"/>
  <c r="L9" i="1" l="1"/>
  <c r="M9" i="1" s="1"/>
  <c r="E2" i="1"/>
  <c r="D2" i="1"/>
  <c r="E43" i="1" l="1"/>
  <c r="F43" i="1" s="1"/>
  <c r="G43" i="1" s="1"/>
  <c r="H43" i="1" s="1"/>
  <c r="L14" i="1"/>
  <c r="H2" i="1"/>
</calcChain>
</file>

<file path=xl/sharedStrings.xml><?xml version="1.0" encoding="utf-8"?>
<sst xmlns="http://schemas.openxmlformats.org/spreadsheetml/2006/main" count="132" uniqueCount="84">
  <si>
    <t>bed height (m)</t>
  </si>
  <si>
    <t>windbox (m)</t>
  </si>
  <si>
    <t>TDH (m)</t>
  </si>
  <si>
    <t>cyclone height (m)</t>
  </si>
  <si>
    <t>reactor height (m)</t>
  </si>
  <si>
    <t>reactor diameter (m)</t>
  </si>
  <si>
    <t>min thickness</t>
  </si>
  <si>
    <t>S (ksi)</t>
  </si>
  <si>
    <t>E</t>
  </si>
  <si>
    <t>diameter</t>
  </si>
  <si>
    <t>height</t>
  </si>
  <si>
    <t>volume</t>
  </si>
  <si>
    <t>k1</t>
  </si>
  <si>
    <t>k2</t>
  </si>
  <si>
    <t>k3</t>
  </si>
  <si>
    <t>P (bar)</t>
  </si>
  <si>
    <t>Cp0</t>
  </si>
  <si>
    <t>Fm</t>
  </si>
  <si>
    <t>Fp</t>
  </si>
  <si>
    <t>b1</t>
  </si>
  <si>
    <t>b2</t>
  </si>
  <si>
    <t>Cbm (USD cepci 397)</t>
  </si>
  <si>
    <t>reactor (process vessel)</t>
  </si>
  <si>
    <t>Cbm (usd cepci 397)</t>
  </si>
  <si>
    <t>Volume</t>
  </si>
  <si>
    <t>8 cyclones (dust collector cyclone)</t>
  </si>
  <si>
    <t>Fbm</t>
  </si>
  <si>
    <t>internal coil (spiral tube heat exchanger)</t>
  </si>
  <si>
    <t>area</t>
  </si>
  <si>
    <t>left over area</t>
  </si>
  <si>
    <t>Cp0 (size 100)</t>
  </si>
  <si>
    <t>Cp0 (size left over(</t>
  </si>
  <si>
    <t>fired heater 1</t>
  </si>
  <si>
    <t>duty (kw)</t>
  </si>
  <si>
    <t>fired heater 2</t>
  </si>
  <si>
    <t>fired heater 3</t>
  </si>
  <si>
    <t>non-reactive fired heaters</t>
  </si>
  <si>
    <t>pump</t>
  </si>
  <si>
    <t>duty (kW)</t>
  </si>
  <si>
    <t>spare duty</t>
  </si>
  <si>
    <t>Cp0(size 56.4)</t>
  </si>
  <si>
    <t>cp0 (size 100)</t>
  </si>
  <si>
    <t>c1</t>
  </si>
  <si>
    <t>c2</t>
  </si>
  <si>
    <t>c3</t>
  </si>
  <si>
    <t>fp</t>
  </si>
  <si>
    <t>fm</t>
  </si>
  <si>
    <t>porous plate distributor</t>
  </si>
  <si>
    <t>Cbm (cepci 543, sgd)</t>
  </si>
  <si>
    <t>Total bare module cost of section</t>
  </si>
  <si>
    <t>Total module cost</t>
  </si>
  <si>
    <t>FCI</t>
  </si>
  <si>
    <t>Annualized capital cost</t>
  </si>
  <si>
    <t>i</t>
  </si>
  <si>
    <t>OPEX</t>
  </si>
  <si>
    <t>utilities</t>
  </si>
  <si>
    <t>natural gas</t>
  </si>
  <si>
    <t>steam</t>
  </si>
  <si>
    <t>hydrogen</t>
  </si>
  <si>
    <t>Prices</t>
  </si>
  <si>
    <t>Catalyst (SGD$/MT) from alibaba</t>
  </si>
  <si>
    <t>Methanol(SGD$/MT) from ng-tech</t>
  </si>
  <si>
    <t>Ethylene (SGD$/MT) from platts</t>
  </si>
  <si>
    <t>Propylene (SGD$/ton) from platts</t>
  </si>
  <si>
    <t>butene ($SGD/MT) from platts</t>
  </si>
  <si>
    <t>Price of electricity (for pump) ($/kJ)</t>
  </si>
  <si>
    <t>electricity (kJ)</t>
  </si>
  <si>
    <t>amount per year</t>
  </si>
  <si>
    <t>cost / year</t>
  </si>
  <si>
    <t>natural gas (US$/MMBTU)</t>
  </si>
  <si>
    <t>duty (MMBtu/year)</t>
  </si>
  <si>
    <t>cost / year SGD</t>
  </si>
  <si>
    <t>amount per year (kt/a)</t>
  </si>
  <si>
    <t>hydrogen ($/kg)</t>
  </si>
  <si>
    <t>http://heshydrogen.com/hydrogen-fuel-cost-vs-gasoline/</t>
  </si>
  <si>
    <t>google</t>
  </si>
  <si>
    <t>Raw materials</t>
  </si>
  <si>
    <t>methanol</t>
  </si>
  <si>
    <t>amount of feed (kt/a)</t>
  </si>
  <si>
    <t>cost/year</t>
  </si>
  <si>
    <t>total OPEX/year</t>
  </si>
  <si>
    <t>S (Pa)</t>
  </si>
  <si>
    <t>storage vessel (tank API floating roof)</t>
  </si>
  <si>
    <t>cost of reactor including cyclone and coil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</si>
</sst>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6"/>
  <sheetViews>
    <sheetView tabSelected="1" topLeftCell="A31" workbookViewId="0">
      <selection activeCell="L13" sqref="L13"/>
    </sheetView>
  </sheetViews>
  <sheetFormatPr defaultRowHeight="15" x14ac:dyDescent="0.25"/>
  <cols>
    <col min="2" max="2" width="12" bestFit="1" customWidth="1"/>
    <col min="3" max="3" width="11" bestFit="1" customWidth="1"/>
    <col min="5" max="6" width="9.5703125" bestFit="1" customWidth="1"/>
    <col min="7" max="7" width="11" bestFit="1" customWidth="1"/>
    <col min="12" max="13" width="9.5703125" bestFit="1" customWidth="1"/>
  </cols>
  <sheetData>
    <row r="1" spans="1:13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I1" t="s">
        <v>15</v>
      </c>
    </row>
    <row r="2" spans="1:13" x14ac:dyDescent="0.25">
      <c r="A2">
        <v>5.1299999999999998E-2</v>
      </c>
      <c r="B2">
        <v>1.0737000000000001</v>
      </c>
      <c r="C2">
        <v>0.1</v>
      </c>
      <c r="D2">
        <f>1.734+2.89</f>
        <v>4.6240000000000006</v>
      </c>
      <c r="E2">
        <f>D2+C2+B2+A2</f>
        <v>5.8490000000000011</v>
      </c>
      <c r="F2">
        <v>9.9149999999999991</v>
      </c>
      <c r="H2">
        <f>8*3.142*(0.344/2)^2</f>
        <v>0.74362342399999992</v>
      </c>
      <c r="I2">
        <f>30-1</f>
        <v>29</v>
      </c>
    </row>
    <row r="4" spans="1:13" x14ac:dyDescent="0.25">
      <c r="A4" t="s">
        <v>6</v>
      </c>
      <c r="C4" t="s">
        <v>7</v>
      </c>
      <c r="D4" t="s">
        <v>8</v>
      </c>
      <c r="E4" t="s">
        <v>81</v>
      </c>
    </row>
    <row r="5" spans="1:13" x14ac:dyDescent="0.25">
      <c r="A5">
        <f>3800000*F2/(2*E5 -1.2*3800000)</f>
        <v>0.22827485617135818</v>
      </c>
      <c r="B5">
        <f>3800000*F2/(4*E5  +0.8*3800000)</f>
        <v>0.11008231566600508</v>
      </c>
      <c r="C5">
        <v>12.3</v>
      </c>
      <c r="D5">
        <v>1</v>
      </c>
      <c r="E5">
        <f>84805514.70609*C5/12.3</f>
        <v>84805514.706090003</v>
      </c>
    </row>
    <row r="7" spans="1:13" x14ac:dyDescent="0.25">
      <c r="A7" t="s">
        <v>22</v>
      </c>
    </row>
    <row r="8" spans="1:13" x14ac:dyDescent="0.25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16</v>
      </c>
      <c r="H8" t="s">
        <v>17</v>
      </c>
      <c r="I8" t="s">
        <v>18</v>
      </c>
      <c r="J8" t="s">
        <v>19</v>
      </c>
      <c r="K8" t="s">
        <v>20</v>
      </c>
      <c r="L8" t="s">
        <v>21</v>
      </c>
      <c r="M8" t="s">
        <v>48</v>
      </c>
    </row>
    <row r="9" spans="1:13" x14ac:dyDescent="0.25">
      <c r="A9">
        <v>9.9149999999999991</v>
      </c>
      <c r="B9">
        <f>E2</f>
        <v>5.8490000000000011</v>
      </c>
      <c r="C9">
        <f>3.142*B9*(A9/2)^2</f>
        <v>451.66168231413752</v>
      </c>
      <c r="D9">
        <v>3.4973999999999998</v>
      </c>
      <c r="E9">
        <v>0.44850000000000001</v>
      </c>
      <c r="F9">
        <v>0.1074</v>
      </c>
      <c r="G9">
        <f>10^(D9+E9*LOG10(C9)+F9*(LOG10(C9))^2)</f>
        <v>278639.4003024305</v>
      </c>
      <c r="H9">
        <v>1.7</v>
      </c>
      <c r="I9">
        <f>(30*A9/(2*(850-0.6*30))+0.00315)/0.0063</f>
        <v>28.873969780219781</v>
      </c>
      <c r="J9">
        <v>2.25</v>
      </c>
      <c r="K9">
        <v>1.82</v>
      </c>
      <c r="L9">
        <f>G9*(J9+K9*H9*I9)</f>
        <v>25519485.531060919</v>
      </c>
      <c r="M9" s="1">
        <f>543*L9*1.41/397</f>
        <v>49215324.199360631</v>
      </c>
    </row>
    <row r="10" spans="1:13" x14ac:dyDescent="0.25">
      <c r="A10" t="s">
        <v>82</v>
      </c>
    </row>
    <row r="11" spans="1:13" x14ac:dyDescent="0.25">
      <c r="A11" t="s">
        <v>11</v>
      </c>
      <c r="B11" t="s">
        <v>12</v>
      </c>
      <c r="C11" t="s">
        <v>13</v>
      </c>
      <c r="D11" t="s">
        <v>14</v>
      </c>
      <c r="E11" t="s">
        <v>16</v>
      </c>
      <c r="F11" t="s">
        <v>17</v>
      </c>
      <c r="G11" t="s">
        <v>18</v>
      </c>
      <c r="H11" t="s">
        <v>23</v>
      </c>
      <c r="I11" t="s">
        <v>48</v>
      </c>
    </row>
    <row r="12" spans="1:13" x14ac:dyDescent="0.25">
      <c r="A12">
        <v>1550</v>
      </c>
      <c r="B12">
        <v>5.9566999999999997</v>
      </c>
      <c r="C12">
        <v>-0.75849999999999995</v>
      </c>
      <c r="D12">
        <v>0.1749</v>
      </c>
      <c r="E12">
        <f>10^(B12+C12*LOG10(A12)+D12*(LOG10(A12))^2)</f>
        <v>207492.99792737322</v>
      </c>
      <c r="F12">
        <v>1.7</v>
      </c>
      <c r="G12">
        <v>1</v>
      </c>
      <c r="H12">
        <f>E12</f>
        <v>207492.99792737322</v>
      </c>
      <c r="I12">
        <f>543*H12*1.41/397</f>
        <v>400158.34761494899</v>
      </c>
    </row>
    <row r="13" spans="1:13" x14ac:dyDescent="0.25">
      <c r="L13" t="s">
        <v>83</v>
      </c>
    </row>
    <row r="14" spans="1:13" x14ac:dyDescent="0.25">
      <c r="A14" t="s">
        <v>25</v>
      </c>
      <c r="L14" s="1">
        <f>M9+H16+I20</f>
        <v>51531606.175769471</v>
      </c>
    </row>
    <row r="15" spans="1:13" x14ac:dyDescent="0.25">
      <c r="A15" t="s">
        <v>24</v>
      </c>
      <c r="B15" t="s">
        <v>12</v>
      </c>
      <c r="C15" t="s">
        <v>13</v>
      </c>
      <c r="D15" t="s">
        <v>14</v>
      </c>
      <c r="E15" t="s">
        <v>16</v>
      </c>
      <c r="F15" t="s">
        <v>26</v>
      </c>
      <c r="G15" t="s">
        <v>23</v>
      </c>
      <c r="H15" t="s">
        <v>48</v>
      </c>
    </row>
    <row r="16" spans="1:13" x14ac:dyDescent="0.25">
      <c r="A16">
        <f>8*3.142*(1.734+2.89)*(0.485/2)^2</f>
        <v>6.8349836336000003</v>
      </c>
      <c r="B16">
        <v>3.6297999999999999</v>
      </c>
      <c r="C16">
        <v>0.50090000000000001</v>
      </c>
      <c r="D16">
        <v>4.1099999999999998E-2</v>
      </c>
      <c r="E16">
        <f>10^(B16+C16*LOG10(A16)+D16*(LOG10(A16))^2)</f>
        <v>11927.733712583757</v>
      </c>
      <c r="F16">
        <v>2.86</v>
      </c>
      <c r="G16">
        <f>E16*F16</f>
        <v>34113.31841798954</v>
      </c>
      <c r="H16">
        <f>543*G16*1.41/397</f>
        <v>65788.866449282956</v>
      </c>
    </row>
    <row r="18" spans="1:9" x14ac:dyDescent="0.25">
      <c r="A18" t="s">
        <v>27</v>
      </c>
    </row>
    <row r="19" spans="1:9" x14ac:dyDescent="0.25">
      <c r="A19" t="s">
        <v>28</v>
      </c>
      <c r="B19" t="s">
        <v>29</v>
      </c>
      <c r="C19" t="s">
        <v>12</v>
      </c>
      <c r="D19" t="s">
        <v>13</v>
      </c>
      <c r="E19" t="s">
        <v>14</v>
      </c>
      <c r="F19" t="s">
        <v>30</v>
      </c>
      <c r="G19" t="s">
        <v>31</v>
      </c>
      <c r="H19" t="s">
        <v>23</v>
      </c>
      <c r="I19" t="s">
        <v>48</v>
      </c>
    </row>
    <row r="20" spans="1:9" x14ac:dyDescent="0.25">
      <c r="A20">
        <v>426.5</v>
      </c>
      <c r="B20">
        <v>26.5</v>
      </c>
      <c r="C20">
        <v>3.9912000000000001</v>
      </c>
      <c r="D20">
        <v>6.6799999999999998E-2</v>
      </c>
      <c r="E20">
        <v>0.24299999999999999</v>
      </c>
      <c r="F20">
        <f>10^(C20+D20*LOG10(100)+E20*(LOG10(100))^2)</f>
        <v>124968.33972112199</v>
      </c>
      <c r="G20">
        <f>10^(C20+D20*LOG10(B20)+E20*(LOG10(B20))^2)</f>
        <v>37887.908080889996</v>
      </c>
      <c r="H20">
        <f>(4*F20+G20)*(0.96+1.21)</f>
        <v>1166941.9493148702</v>
      </c>
      <c r="I20">
        <f>543*H20*1.41/397</f>
        <v>2250493.1099595567</v>
      </c>
    </row>
    <row r="22" spans="1:9" x14ac:dyDescent="0.25">
      <c r="A22" t="s">
        <v>36</v>
      </c>
    </row>
    <row r="23" spans="1:9" x14ac:dyDescent="0.25">
      <c r="A23" t="s">
        <v>32</v>
      </c>
    </row>
    <row r="24" spans="1:9" x14ac:dyDescent="0.25">
      <c r="A24" t="s">
        <v>33</v>
      </c>
      <c r="B24" t="s">
        <v>12</v>
      </c>
      <c r="C24" t="s">
        <v>13</v>
      </c>
      <c r="D24" t="s">
        <v>14</v>
      </c>
      <c r="E24" t="s">
        <v>16</v>
      </c>
      <c r="F24" t="s">
        <v>23</v>
      </c>
      <c r="G24" t="s">
        <v>48</v>
      </c>
    </row>
    <row r="25" spans="1:9" x14ac:dyDescent="0.25">
      <c r="A25">
        <v>64300</v>
      </c>
      <c r="B25">
        <v>7.3487999999999998</v>
      </c>
      <c r="C25">
        <v>-1.1666000000000001</v>
      </c>
      <c r="D25">
        <v>0.20280000000000001</v>
      </c>
      <c r="E25">
        <f>10^(B25+C25*LOG10(A25)+D25*(LOG10(A25))^2)</f>
        <v>2679492.4072685703</v>
      </c>
      <c r="F25">
        <f>E25</f>
        <v>2679492.4072685703</v>
      </c>
      <c r="G25">
        <f>543*F25*1.41/397</f>
        <v>5167505.7223602906</v>
      </c>
    </row>
    <row r="27" spans="1:9" x14ac:dyDescent="0.25">
      <c r="A27" t="s">
        <v>34</v>
      </c>
    </row>
    <row r="28" spans="1:9" x14ac:dyDescent="0.25">
      <c r="A28" t="s">
        <v>33</v>
      </c>
      <c r="B28" t="s">
        <v>12</v>
      </c>
      <c r="C28" t="s">
        <v>13</v>
      </c>
      <c r="D28" t="s">
        <v>14</v>
      </c>
      <c r="E28" t="s">
        <v>16</v>
      </c>
      <c r="F28" t="s">
        <v>23</v>
      </c>
      <c r="G28" t="s">
        <v>48</v>
      </c>
    </row>
    <row r="29" spans="1:9" x14ac:dyDescent="0.25">
      <c r="A29">
        <v>72300</v>
      </c>
      <c r="B29">
        <v>7.3487999999999998</v>
      </c>
      <c r="C29">
        <v>-1.1666000000000001</v>
      </c>
      <c r="D29">
        <v>0.20280000000000001</v>
      </c>
      <c r="E29">
        <f>10^(B29+C29*LOG10(A29)+D29*(LOG10(A29))^2)</f>
        <v>2940936.7937316061</v>
      </c>
      <c r="F29">
        <f>E29</f>
        <v>2940936.7937316061</v>
      </c>
      <c r="G29">
        <f>543*F29*1.41/397</f>
        <v>5671711.4291806789</v>
      </c>
    </row>
    <row r="31" spans="1:9" x14ac:dyDescent="0.25">
      <c r="A31" t="s">
        <v>35</v>
      </c>
    </row>
    <row r="32" spans="1:9" x14ac:dyDescent="0.25">
      <c r="A32" t="s">
        <v>33</v>
      </c>
      <c r="B32" t="s">
        <v>12</v>
      </c>
      <c r="C32" t="s">
        <v>13</v>
      </c>
      <c r="D32" t="s">
        <v>14</v>
      </c>
      <c r="E32" t="s">
        <v>16</v>
      </c>
      <c r="F32" t="s">
        <v>23</v>
      </c>
      <c r="G32" t="s">
        <v>48</v>
      </c>
    </row>
    <row r="33" spans="1:16" x14ac:dyDescent="0.25">
      <c r="A33">
        <v>104300</v>
      </c>
      <c r="B33">
        <v>7.3487999999999998</v>
      </c>
      <c r="C33">
        <v>-1.1666000000000001</v>
      </c>
      <c r="D33">
        <v>0.20280000000000001</v>
      </c>
      <c r="E33">
        <f>10^(B33+C33*LOG10(A33)+D33*(LOG10(A33))^2)</f>
        <v>3995930.2836110755</v>
      </c>
      <c r="F33">
        <f>E33</f>
        <v>3995930.2836110755</v>
      </c>
      <c r="G33">
        <f>543*F33*1.41/397</f>
        <v>7706307.5643353844</v>
      </c>
    </row>
    <row r="35" spans="1:16" x14ac:dyDescent="0.25">
      <c r="A35" t="s">
        <v>37</v>
      </c>
    </row>
    <row r="36" spans="1:16" x14ac:dyDescent="0.25">
      <c r="A36" t="s">
        <v>38</v>
      </c>
      <c r="B36" t="s">
        <v>39</v>
      </c>
      <c r="C36" t="s">
        <v>12</v>
      </c>
      <c r="D36" t="s">
        <v>13</v>
      </c>
      <c r="E36" t="s">
        <v>14</v>
      </c>
      <c r="F36" t="s">
        <v>40</v>
      </c>
      <c r="G36" t="s">
        <v>41</v>
      </c>
      <c r="H36" t="s">
        <v>42</v>
      </c>
      <c r="I36" t="s">
        <v>43</v>
      </c>
      <c r="J36" t="s">
        <v>44</v>
      </c>
      <c r="K36" t="s">
        <v>45</v>
      </c>
      <c r="L36" t="s">
        <v>46</v>
      </c>
      <c r="M36" t="s">
        <v>19</v>
      </c>
      <c r="N36" t="s">
        <v>20</v>
      </c>
      <c r="O36" t="s">
        <v>23</v>
      </c>
      <c r="P36" t="s">
        <v>48</v>
      </c>
    </row>
    <row r="37" spans="1:16" x14ac:dyDescent="0.25">
      <c r="A37">
        <v>656.4</v>
      </c>
      <c r="B37">
        <v>56.4</v>
      </c>
      <c r="C37">
        <v>3.4771000000000001</v>
      </c>
      <c r="D37">
        <v>0.13500000000000001</v>
      </c>
      <c r="E37">
        <v>0.14380000000000001</v>
      </c>
      <c r="F37">
        <f>10^(C37+D37*LOG10(B37)+E37*(LOG10(B37))^2)</f>
        <v>14274.279206238911</v>
      </c>
      <c r="G37">
        <f>10^(C37+D37*LOG10(100)+E37*(LOG10(100))^2)</f>
        <v>21003.902808214345</v>
      </c>
      <c r="H37">
        <v>-0.24538199999999999</v>
      </c>
      <c r="I37">
        <v>0.25901600000000002</v>
      </c>
      <c r="J37">
        <v>-1.363E-2</v>
      </c>
      <c r="K37">
        <f>10^(H37+I37*LOG10(29)+J37*LOG10(29)^2)</f>
        <v>1.2713152427075036</v>
      </c>
      <c r="L37">
        <v>1.7</v>
      </c>
      <c r="M37">
        <v>1.89</v>
      </c>
      <c r="N37">
        <v>1.35</v>
      </c>
      <c r="O37">
        <f>6*(G37*(M37+N37*K37*L37))+F37*(M37+N37*K37*L37)</f>
        <v>674504.81142528821</v>
      </c>
      <c r="P37">
        <f>543*O37*1.41/397</f>
        <v>1300808.8634043913</v>
      </c>
    </row>
    <row r="39" spans="1:16" x14ac:dyDescent="0.25">
      <c r="A39" t="s">
        <v>47</v>
      </c>
    </row>
    <row r="42" spans="1:16" x14ac:dyDescent="0.25">
      <c r="D42" t="s">
        <v>53</v>
      </c>
      <c r="E42" t="s">
        <v>49</v>
      </c>
      <c r="F42" t="s">
        <v>50</v>
      </c>
      <c r="G42" t="s">
        <v>51</v>
      </c>
      <c r="H42" t="s">
        <v>52</v>
      </c>
    </row>
    <row r="43" spans="1:16" x14ac:dyDescent="0.25">
      <c r="D43">
        <v>0.02</v>
      </c>
      <c r="E43" s="1">
        <f>P37+G33+G29+G25+I20+H16+I12+M9</f>
        <v>71778098.102665156</v>
      </c>
      <c r="F43" s="1">
        <f>1.18*E43</f>
        <v>84698155.761144876</v>
      </c>
      <c r="G43" s="1">
        <f>F43</f>
        <v>84698155.761144876</v>
      </c>
      <c r="H43">
        <f>G43*(D43*(1+D43)^10)/((1+D43)^10-1)</f>
        <v>9429151.5974840093</v>
      </c>
    </row>
    <row r="45" spans="1:16" x14ac:dyDescent="0.25">
      <c r="A45" t="s">
        <v>54</v>
      </c>
    </row>
    <row r="46" spans="1:16" x14ac:dyDescent="0.25">
      <c r="A46" t="s">
        <v>55</v>
      </c>
    </row>
    <row r="47" spans="1:16" x14ac:dyDescent="0.25">
      <c r="B47" t="s">
        <v>67</v>
      </c>
      <c r="C47" t="s">
        <v>68</v>
      </c>
    </row>
    <row r="48" spans="1:16" x14ac:dyDescent="0.25">
      <c r="A48" t="s">
        <v>66</v>
      </c>
      <c r="B48">
        <f>A37*3600*8000</f>
        <v>18904320000</v>
      </c>
      <c r="C48">
        <f>B48*B66</f>
        <v>1176268.8</v>
      </c>
    </row>
    <row r="49" spans="1:7" x14ac:dyDescent="0.25">
      <c r="B49" t="s">
        <v>38</v>
      </c>
      <c r="C49" t="s">
        <v>70</v>
      </c>
      <c r="D49" t="s">
        <v>71</v>
      </c>
    </row>
    <row r="50" spans="1:7" x14ac:dyDescent="0.25">
      <c r="A50" t="s">
        <v>56</v>
      </c>
      <c r="B50">
        <f>A29+A33+A25</f>
        <v>240900</v>
      </c>
      <c r="C50">
        <f>B50*1000*3.412142*8000/1000000</f>
        <v>6575880.0624000002</v>
      </c>
      <c r="D50">
        <f>B64*C50*1.41</f>
        <v>24107176.3087584</v>
      </c>
    </row>
    <row r="51" spans="1:7" x14ac:dyDescent="0.25">
      <c r="A51" t="s">
        <v>57</v>
      </c>
    </row>
    <row r="52" spans="1:7" x14ac:dyDescent="0.25">
      <c r="B52" t="s">
        <v>72</v>
      </c>
      <c r="C52" t="s">
        <v>68</v>
      </c>
    </row>
    <row r="53" spans="1:7" x14ac:dyDescent="0.25">
      <c r="A53" t="s">
        <v>58</v>
      </c>
      <c r="B53">
        <v>98.47</v>
      </c>
      <c r="C53">
        <f>B53*1000000*B65</f>
        <v>98470000</v>
      </c>
    </row>
    <row r="54" spans="1:7" x14ac:dyDescent="0.25">
      <c r="A54" t="s">
        <v>76</v>
      </c>
    </row>
    <row r="55" spans="1:7" x14ac:dyDescent="0.25">
      <c r="B55" t="s">
        <v>78</v>
      </c>
      <c r="C55" t="s">
        <v>79</v>
      </c>
    </row>
    <row r="56" spans="1:7" x14ac:dyDescent="0.25">
      <c r="A56" t="s">
        <v>77</v>
      </c>
      <c r="B56">
        <v>3161</v>
      </c>
      <c r="C56">
        <f>B56*1000*B60</f>
        <v>1114252500</v>
      </c>
    </row>
    <row r="57" spans="1:7" x14ac:dyDescent="0.25">
      <c r="F57" t="s">
        <v>80</v>
      </c>
      <c r="G57">
        <f>C48+D50+C53+C56</f>
        <v>1238005945.1087584</v>
      </c>
    </row>
    <row r="58" spans="1:7" x14ac:dyDescent="0.25">
      <c r="A58" t="s">
        <v>59</v>
      </c>
    </row>
    <row r="59" spans="1:7" x14ac:dyDescent="0.25">
      <c r="A59" t="s">
        <v>60</v>
      </c>
      <c r="B59">
        <v>2820</v>
      </c>
    </row>
    <row r="60" spans="1:7" x14ac:dyDescent="0.25">
      <c r="A60" t="s">
        <v>61</v>
      </c>
      <c r="B60">
        <f>250*1.41</f>
        <v>352.5</v>
      </c>
    </row>
    <row r="61" spans="1:7" x14ac:dyDescent="0.25">
      <c r="A61" t="s">
        <v>62</v>
      </c>
      <c r="B61">
        <v>1379</v>
      </c>
    </row>
    <row r="62" spans="1:7" x14ac:dyDescent="0.25">
      <c r="A62" t="s">
        <v>63</v>
      </c>
      <c r="B62">
        <v>1226</v>
      </c>
    </row>
    <row r="63" spans="1:7" x14ac:dyDescent="0.25">
      <c r="A63" t="s">
        <v>64</v>
      </c>
      <c r="B63">
        <f>1190*1.41</f>
        <v>1677.8999999999999</v>
      </c>
    </row>
    <row r="64" spans="1:7" x14ac:dyDescent="0.25">
      <c r="A64" t="s">
        <v>69</v>
      </c>
      <c r="B64">
        <v>2.6</v>
      </c>
      <c r="C64" t="s">
        <v>75</v>
      </c>
    </row>
    <row r="65" spans="1:3" x14ac:dyDescent="0.25">
      <c r="A65" t="s">
        <v>73</v>
      </c>
      <c r="B65">
        <v>1</v>
      </c>
      <c r="C65" t="s">
        <v>74</v>
      </c>
    </row>
    <row r="66" spans="1:3" x14ac:dyDescent="0.25">
      <c r="A66" t="s">
        <v>65</v>
      </c>
      <c r="B66">
        <f>0.224/3600</f>
        <v>6.222222222222222E-5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2017-03-21T04:23:26Z</dcterms:modified>
</cp:coreProperties>
</file>