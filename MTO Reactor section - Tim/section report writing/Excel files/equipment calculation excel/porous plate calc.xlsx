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K2" i="1"/>
  <c r="G6" i="1" l="1"/>
  <c r="J2" i="1"/>
  <c r="H2" i="1"/>
  <c r="F2" i="1"/>
  <c r="E2" i="1"/>
  <c r="A6" i="1" s="1"/>
  <c r="B6" i="1" s="1"/>
  <c r="D6" i="1" s="1"/>
  <c r="F6" i="1" s="1"/>
  <c r="F8" i="1" s="1"/>
  <c r="G8" i="1" s="1"/>
  <c r="B2" i="1"/>
  <c r="A2" i="1"/>
</calcChain>
</file>

<file path=xl/sharedStrings.xml><?xml version="1.0" encoding="utf-8"?>
<sst xmlns="http://schemas.openxmlformats.org/spreadsheetml/2006/main" count="20" uniqueCount="20">
  <si>
    <t>dp</t>
  </si>
  <si>
    <t>should be &lt;1 to be geldart A</t>
  </si>
  <si>
    <t>c (eqn 13)</t>
  </si>
  <si>
    <t>Hmf (m)</t>
  </si>
  <si>
    <t>D (m)</t>
  </si>
  <si>
    <t>aspect ratio</t>
  </si>
  <si>
    <t>delta P of bed (N/m2)</t>
  </si>
  <si>
    <t>delta P of distributor</t>
  </si>
  <si>
    <t>u0 (ms-1)</t>
  </si>
  <si>
    <t>gas density (kg/m3) from hysys</t>
  </si>
  <si>
    <t>miu (si units) from hsys</t>
  </si>
  <si>
    <t>Re</t>
  </si>
  <si>
    <t>Cd</t>
  </si>
  <si>
    <t>Uorifice</t>
  </si>
  <si>
    <t>assume N (holes/m2)</t>
  </si>
  <si>
    <t>dorifice (m)</t>
  </si>
  <si>
    <t>area</t>
  </si>
  <si>
    <t>number of orifice</t>
  </si>
  <si>
    <t>area of orifice</t>
  </si>
  <si>
    <t>height of 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</si>
</sst>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E11" sqref="E11"/>
    </sheetView>
  </sheetViews>
  <sheetFormatPr defaultRowHeight="15" x14ac:dyDescent="0.25"/>
  <cols>
    <col min="6" max="6" width="12" bestFit="1" customWidth="1"/>
    <col min="8" max="8" width="12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10</v>
      </c>
      <c r="I1" t="s">
        <v>9</v>
      </c>
      <c r="J1" t="s">
        <v>11</v>
      </c>
      <c r="K1" t="s">
        <v>16</v>
      </c>
    </row>
    <row r="2" spans="1:11" x14ac:dyDescent="0.25">
      <c r="A2">
        <f>180*10^-6</f>
        <v>1.7999999999999998E-4</v>
      </c>
      <c r="B2">
        <f>(1270^0.934)*(A2)^0.8</f>
        <v>0.80014865482067676</v>
      </c>
      <c r="C2">
        <v>5.1299999999999998E-2</v>
      </c>
      <c r="D2">
        <v>9.9149999999999991</v>
      </c>
      <c r="E2">
        <f>C2/D2</f>
        <v>5.1739788199697432E-3</v>
      </c>
      <c r="F2">
        <f>1270*(1-0.405)*C2*9.81</f>
        <v>380.28312945000005</v>
      </c>
      <c r="G2">
        <v>0.1</v>
      </c>
      <c r="H2">
        <f>2.003*10^-5</f>
        <v>2.0030000000000003E-5</v>
      </c>
      <c r="I2">
        <v>15.44</v>
      </c>
      <c r="J2">
        <f>I2*G2*D2/H2</f>
        <v>764291.56265601586</v>
      </c>
      <c r="K2">
        <f>3.142*(D2/2)^2</f>
        <v>77.220325237499992</v>
      </c>
    </row>
    <row r="5" spans="1:11" x14ac:dyDescent="0.25">
      <c r="A5" t="s">
        <v>2</v>
      </c>
      <c r="B5" t="s">
        <v>7</v>
      </c>
      <c r="C5" t="s">
        <v>12</v>
      </c>
      <c r="D5" t="s">
        <v>13</v>
      </c>
      <c r="E5" t="s">
        <v>14</v>
      </c>
      <c r="F5" t="s">
        <v>15</v>
      </c>
      <c r="G5" t="s">
        <v>17</v>
      </c>
    </row>
    <row r="6" spans="1:11" x14ac:dyDescent="0.25">
      <c r="A6">
        <f>EXP(-3.8*E2)</f>
        <v>0.98053089979705188</v>
      </c>
      <c r="B6">
        <f>F2*A6</f>
        <v>372.87935909724729</v>
      </c>
      <c r="C6">
        <v>0.6</v>
      </c>
      <c r="D6">
        <f>C6*(2*B6/I2)^0.5</f>
        <v>4.1699108673736118</v>
      </c>
      <c r="E6">
        <v>1000</v>
      </c>
      <c r="F6">
        <f>(G2*(4/3.142)/(D6*E6))^0.5</f>
        <v>5.5253974043786369E-3</v>
      </c>
      <c r="G6">
        <f>K2*E6</f>
        <v>77220.325237499987</v>
      </c>
    </row>
    <row r="7" spans="1:11" x14ac:dyDescent="0.25">
      <c r="F7" t="s">
        <v>18</v>
      </c>
    </row>
    <row r="8" spans="1:11" x14ac:dyDescent="0.25">
      <c r="F8">
        <f>3.142*(F6/2)^2</f>
        <v>2.3981327942144784E-5</v>
      </c>
      <c r="G8">
        <f>F8*G6</f>
        <v>1.8518459433195664</v>
      </c>
    </row>
    <row r="11" spans="1:11" x14ac:dyDescent="0.25">
      <c r="E11" t="s">
        <v>19</v>
      </c>
    </row>
    <row r="12" spans="1:11" x14ac:dyDescent="0.25">
      <c r="E12">
        <f>1.1248+0.1+1.734+2.89</f>
        <v>5.8488000000000007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2017-03-18T06:19:28Z</dcterms:modified>
</cp:coreProperties>
</file>