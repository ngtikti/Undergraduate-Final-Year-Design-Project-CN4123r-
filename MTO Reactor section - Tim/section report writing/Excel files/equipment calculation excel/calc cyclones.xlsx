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A4" i="1" l="1"/>
  <c r="C11" i="1"/>
  <c r="B11" i="1"/>
  <c r="F10" i="1"/>
  <c r="A11" i="1"/>
  <c r="B2" i="1"/>
  <c r="C2" i="1" s="1"/>
  <c r="E4" i="1" l="1"/>
  <c r="C4" i="1"/>
  <c r="C7" i="1" l="1"/>
  <c r="F17" i="1" s="1"/>
  <c r="F18" i="1" s="1"/>
  <c r="B17" i="1" l="1"/>
  <c r="D17" i="1"/>
  <c r="D18" i="1" s="1"/>
  <c r="B18" i="1"/>
  <c r="A17" i="1"/>
  <c r="A18" i="1" s="1"/>
  <c r="C17" i="1"/>
  <c r="C18" i="1" s="1"/>
  <c r="E17" i="1"/>
  <c r="E18" i="1" s="1"/>
</calcChain>
</file>

<file path=xl/sharedStrings.xml><?xml version="1.0" encoding="utf-8"?>
<sst xmlns="http://schemas.openxmlformats.org/spreadsheetml/2006/main" count="17" uniqueCount="17">
  <si>
    <t>volumetric flow rate of outlet products (m3/s)</t>
  </si>
  <si>
    <t>Area of inletduct at 15ms-1 (m2)</t>
  </si>
  <si>
    <t>Since particles below 10um are lesser than 0.04%, we use high throughput cyclone</t>
  </si>
  <si>
    <t>if 4 cyclones</t>
  </si>
  <si>
    <t>area of inlet</t>
  </si>
  <si>
    <t>to calculate scaling factor</t>
  </si>
  <si>
    <t>density difference of product(kg/m3)</t>
  </si>
  <si>
    <t>viscosity of fluid (mNs/m2)cp</t>
  </si>
  <si>
    <t>scale factor</t>
  </si>
  <si>
    <t>0.75Dc</t>
  </si>
  <si>
    <t>Dc (m)</t>
  </si>
  <si>
    <t>0.375Dc</t>
  </si>
  <si>
    <t>0.875Dc</t>
  </si>
  <si>
    <t>1.5Dc</t>
  </si>
  <si>
    <t>0.125Dc</t>
  </si>
  <si>
    <t>2.5Dc</t>
  </si>
  <si>
    <t>assuming 8 cyclones in 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</si>
</sst>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10" sqref="F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10</v>
      </c>
    </row>
    <row r="2" spans="1:6" x14ac:dyDescent="0.25">
      <c r="A2">
        <v>7.9234999999999998</v>
      </c>
      <c r="B2">
        <f>A2/15</f>
        <v>0.52823333333333333</v>
      </c>
      <c r="C2">
        <f>(B2/(0.75*0.375))^0.5</f>
        <v>1.3704608578733517</v>
      </c>
    </row>
    <row r="3" spans="1:6" x14ac:dyDescent="0.25">
      <c r="A3" t="s">
        <v>16</v>
      </c>
    </row>
    <row r="4" spans="1:6" x14ac:dyDescent="0.25">
      <c r="A4">
        <f>A2/8</f>
        <v>0.99043749999999997</v>
      </c>
      <c r="B4">
        <f>A4/15</f>
        <v>6.6029166666666667E-2</v>
      </c>
      <c r="C4">
        <f>(B4/(0.75*0.375))^0.5</f>
        <v>0.48453108297649017</v>
      </c>
      <c r="E4">
        <f>A4*3600</f>
        <v>3565.5749999999998</v>
      </c>
    </row>
    <row r="5" spans="1:6" x14ac:dyDescent="0.25">
      <c r="A5" t="s">
        <v>5</v>
      </c>
    </row>
    <row r="6" spans="1:6" x14ac:dyDescent="0.25">
      <c r="A6" t="s">
        <v>6</v>
      </c>
      <c r="B6" t="s">
        <v>7</v>
      </c>
      <c r="C6" t="s">
        <v>8</v>
      </c>
    </row>
    <row r="7" spans="1:6" x14ac:dyDescent="0.25">
      <c r="A7">
        <v>1270</v>
      </c>
      <c r="B7">
        <v>2.5492000000000001E-2</v>
      </c>
      <c r="C7">
        <f>(((C4/0.203)^3)*(669/(A4*3600))*(2000/A7)*(B7/0.018))^0.5</f>
        <v>2.3854236325467202</v>
      </c>
    </row>
    <row r="10" spans="1:6" x14ac:dyDescent="0.25">
      <c r="A10" t="s">
        <v>3</v>
      </c>
      <c r="B10" t="s">
        <v>4</v>
      </c>
      <c r="E10">
        <v>7.0000000000000007E-2</v>
      </c>
      <c r="F10">
        <f>(E10/(0.5*0.2))^0.5</f>
        <v>0.83666002653407556</v>
      </c>
    </row>
    <row r="11" spans="1:6" x14ac:dyDescent="0.25">
      <c r="A11">
        <f>1.11/4</f>
        <v>0.27750000000000002</v>
      </c>
      <c r="B11">
        <f>A11/15</f>
        <v>1.8500000000000003E-2</v>
      </c>
      <c r="C11">
        <f>(B11/(0.5*0.2))^0.5</f>
        <v>0.43011626335213138</v>
      </c>
    </row>
    <row r="14" spans="1:6" x14ac:dyDescent="0.25">
      <c r="A14" t="s">
        <v>2</v>
      </c>
    </row>
    <row r="16" spans="1:6" x14ac:dyDescent="0.25">
      <c r="A16" t="s">
        <v>9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</row>
    <row r="17" spans="1:6" x14ac:dyDescent="0.25">
      <c r="A17">
        <f>0.75*C4*C7</f>
        <v>0.86685892202668158</v>
      </c>
      <c r="B17">
        <f>0.375*C4*C7</f>
        <v>0.43342946101334079</v>
      </c>
      <c r="C17">
        <f>0.875*C4*C7</f>
        <v>1.0113354090311286</v>
      </c>
      <c r="D17">
        <f>1.5*C7*C4</f>
        <v>1.7337178440533632</v>
      </c>
      <c r="E17">
        <f>0.125*C4*C7</f>
        <v>0.14447648700444693</v>
      </c>
      <c r="F17">
        <f>2.5*C4*C7</f>
        <v>2.8895297400889386</v>
      </c>
    </row>
    <row r="18" spans="1:6" x14ac:dyDescent="0.25">
      <c r="A18">
        <f>A17*1000</f>
        <v>866.85892202668163</v>
      </c>
      <c r="B18">
        <f t="shared" ref="B18:F18" si="0">B17*1000</f>
        <v>433.42946101334081</v>
      </c>
      <c r="C18">
        <f t="shared" si="0"/>
        <v>1011.3354090311286</v>
      </c>
      <c r="D18">
        <f t="shared" si="0"/>
        <v>1733.7178440533633</v>
      </c>
      <c r="E18">
        <f t="shared" si="0"/>
        <v>144.47648700444694</v>
      </c>
      <c r="F18">
        <f t="shared" si="0"/>
        <v>2889.5297400889385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2017-03-18T06:13:14Z</dcterms:modified>
</cp:coreProperties>
</file>