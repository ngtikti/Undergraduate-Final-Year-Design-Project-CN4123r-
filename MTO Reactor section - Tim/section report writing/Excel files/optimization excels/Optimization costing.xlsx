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2" i="1" l="1"/>
  <c r="AJ30" i="1"/>
  <c r="AK28" i="1"/>
  <c r="AK29" i="1"/>
  <c r="AK30" i="1"/>
  <c r="AK31" i="1"/>
  <c r="AK33" i="1"/>
  <c r="AJ28" i="1"/>
  <c r="AJ29" i="1"/>
  <c r="AJ31" i="1"/>
  <c r="AJ32" i="1"/>
  <c r="AJ33" i="1"/>
  <c r="AI28" i="1"/>
  <c r="AI29" i="1"/>
  <c r="AI30" i="1"/>
  <c r="AI31" i="1"/>
  <c r="AI32" i="1"/>
  <c r="AI33" i="1"/>
  <c r="AI27" i="1"/>
  <c r="AJ27" i="1" s="1"/>
  <c r="AK27" i="1" s="1"/>
  <c r="AJ18" i="1" l="1"/>
  <c r="AK15" i="1"/>
  <c r="AK16" i="1"/>
  <c r="AK17" i="1"/>
  <c r="AK18" i="1"/>
  <c r="AK19" i="1"/>
  <c r="AK14" i="1"/>
  <c r="AJ15" i="1"/>
  <c r="AJ16" i="1"/>
  <c r="AJ17" i="1"/>
  <c r="AJ19" i="1"/>
  <c r="AJ14" i="1"/>
  <c r="AI18" i="1"/>
  <c r="AI14" i="1"/>
  <c r="AI15" i="1"/>
  <c r="AI16" i="1"/>
  <c r="AI17" i="1"/>
  <c r="AI19" i="1"/>
  <c r="AC27" i="1" l="1"/>
  <c r="AF27" i="1" l="1"/>
  <c r="AF28" i="1"/>
  <c r="AF29" i="1"/>
  <c r="AE27" i="1"/>
  <c r="AG27" i="1" s="1"/>
  <c r="AE28" i="1"/>
  <c r="AG28" i="1" s="1"/>
  <c r="AE29" i="1"/>
  <c r="AG29" i="1" s="1"/>
  <c r="AB27" i="1"/>
  <c r="AB28" i="1"/>
  <c r="AC28" i="1" s="1"/>
  <c r="AB29" i="1"/>
  <c r="AB30" i="1"/>
  <c r="AB31" i="1"/>
  <c r="AB32" i="1"/>
  <c r="Y27" i="1"/>
  <c r="Z27" i="1" s="1"/>
  <c r="AA27" i="1" s="1"/>
  <c r="Y28" i="1"/>
  <c r="Z28" i="1" s="1"/>
  <c r="AA28" i="1" s="1"/>
  <c r="Y29" i="1"/>
  <c r="Z29" i="1" s="1"/>
  <c r="AA29" i="1" s="1"/>
  <c r="Y30" i="1"/>
  <c r="Z30" i="1" s="1"/>
  <c r="AA30" i="1" s="1"/>
  <c r="AC30" i="1" s="1"/>
  <c r="Y31" i="1"/>
  <c r="Z31" i="1" s="1"/>
  <c r="AA31" i="1" s="1"/>
  <c r="AC31" i="1" s="1"/>
  <c r="Y32" i="1"/>
  <c r="Z32" i="1" s="1"/>
  <c r="AA32" i="1" s="1"/>
  <c r="AC32" i="1" l="1"/>
  <c r="AC29" i="1"/>
  <c r="AD29" i="1" s="1"/>
  <c r="AD28" i="1"/>
  <c r="AD27" i="1"/>
  <c r="B39" i="1"/>
  <c r="D47" i="1" l="1"/>
  <c r="C41" i="1"/>
  <c r="C40" i="1"/>
  <c r="C39" i="1"/>
  <c r="AF33" i="1" l="1"/>
  <c r="AF17" i="1"/>
  <c r="AF18" i="1"/>
  <c r="AF3" i="1"/>
  <c r="AF4" i="1"/>
  <c r="AF7" i="1"/>
  <c r="AF8" i="1"/>
  <c r="AF11" i="1"/>
  <c r="AF2" i="1"/>
  <c r="B42" i="1"/>
  <c r="AF30" i="1" s="1"/>
  <c r="AF10" i="1" l="1"/>
  <c r="AF6" i="1"/>
  <c r="AF14" i="1"/>
  <c r="AF16" i="1"/>
  <c r="AF32" i="1"/>
  <c r="AF9" i="1"/>
  <c r="AF5" i="1"/>
  <c r="AF19" i="1"/>
  <c r="AF15" i="1"/>
  <c r="AF31" i="1"/>
  <c r="AE30" i="1"/>
  <c r="AG30" i="1" s="1"/>
  <c r="AE31" i="1"/>
  <c r="AG31" i="1" s="1"/>
  <c r="AE32" i="1"/>
  <c r="AG32" i="1" s="1"/>
  <c r="AE33" i="1"/>
  <c r="AG33" i="1" s="1"/>
  <c r="AE15" i="1"/>
  <c r="AG15" i="1" s="1"/>
  <c r="AE16" i="1"/>
  <c r="AE17" i="1"/>
  <c r="AG17" i="1" s="1"/>
  <c r="AE18" i="1"/>
  <c r="AG18" i="1" s="1"/>
  <c r="AE19" i="1"/>
  <c r="AE14" i="1"/>
  <c r="AG14" i="1" s="1"/>
  <c r="AE3" i="1"/>
  <c r="AG3" i="1" s="1"/>
  <c r="AE4" i="1"/>
  <c r="AG4" i="1" s="1"/>
  <c r="AE5" i="1"/>
  <c r="AG5" i="1" s="1"/>
  <c r="AE6" i="1"/>
  <c r="AG6" i="1" s="1"/>
  <c r="AE7" i="1"/>
  <c r="AG7" i="1" s="1"/>
  <c r="AE8" i="1"/>
  <c r="AG8" i="1" s="1"/>
  <c r="AE9" i="1"/>
  <c r="AG9" i="1" s="1"/>
  <c r="AE10" i="1"/>
  <c r="AG10" i="1" s="1"/>
  <c r="AE11" i="1"/>
  <c r="AG11" i="1" s="1"/>
  <c r="AE2" i="1"/>
  <c r="AG2" i="1" s="1"/>
  <c r="B45" i="1"/>
  <c r="AB19" i="1"/>
  <c r="AB14" i="1"/>
  <c r="AB8" i="1"/>
  <c r="AB10" i="1"/>
  <c r="E39" i="1"/>
  <c r="F47" i="1"/>
  <c r="B47" i="1"/>
  <c r="AB6" i="1" l="1"/>
  <c r="AB15" i="1"/>
  <c r="AB2" i="1"/>
  <c r="AB4" i="1"/>
  <c r="AB33" i="1"/>
  <c r="AG16" i="1"/>
  <c r="AG19" i="1"/>
  <c r="AA3" i="1"/>
  <c r="AA4" i="1"/>
  <c r="AC4" i="1" s="1"/>
  <c r="AD4" i="1" s="1"/>
  <c r="AH4" i="1" s="1"/>
  <c r="AB11" i="1"/>
  <c r="AB7" i="1"/>
  <c r="AB3" i="1"/>
  <c r="AB18" i="1"/>
  <c r="AB17" i="1"/>
  <c r="AB9" i="1"/>
  <c r="AB5" i="1"/>
  <c r="AB16" i="1"/>
  <c r="Y11" i="1"/>
  <c r="Z11" i="1" s="1"/>
  <c r="AA11" i="1" s="1"/>
  <c r="Y10" i="1"/>
  <c r="Z10" i="1" s="1"/>
  <c r="AA10" i="1" s="1"/>
  <c r="AC10" i="1" s="1"/>
  <c r="AD10" i="1" s="1"/>
  <c r="AH10" i="1" s="1"/>
  <c r="Y7" i="1"/>
  <c r="Z7" i="1" s="1"/>
  <c r="AA7" i="1" s="1"/>
  <c r="Y6" i="1"/>
  <c r="Z6" i="1" s="1"/>
  <c r="AA6" i="1" s="1"/>
  <c r="AC6" i="1" s="1"/>
  <c r="AD6" i="1" s="1"/>
  <c r="AH6" i="1" s="1"/>
  <c r="Y9" i="1"/>
  <c r="Z9" i="1" s="1"/>
  <c r="AA9" i="1" s="1"/>
  <c r="Y8" i="1"/>
  <c r="Z8" i="1" s="1"/>
  <c r="AA8" i="1" s="1"/>
  <c r="AC8" i="1" s="1"/>
  <c r="AD8" i="1" s="1"/>
  <c r="AH8" i="1" s="1"/>
  <c r="Y5" i="1"/>
  <c r="Z5" i="1" s="1"/>
  <c r="AA5" i="1" s="1"/>
  <c r="Y4" i="1"/>
  <c r="Z4" i="1" s="1"/>
  <c r="Y3" i="1"/>
  <c r="Z3" i="1" s="1"/>
  <c r="Y2" i="1"/>
  <c r="Z2" i="1" s="1"/>
  <c r="AA2" i="1" s="1"/>
  <c r="AC2" i="1" s="1"/>
  <c r="AD2" i="1" s="1"/>
  <c r="AH2" i="1" s="1"/>
  <c r="AD30" i="1"/>
  <c r="AD31" i="1"/>
  <c r="Y33" i="1"/>
  <c r="Z33" i="1" s="1"/>
  <c r="AA33" i="1" s="1"/>
  <c r="AC33" i="1" s="1"/>
  <c r="AD33" i="1" s="1"/>
  <c r="Y15" i="1"/>
  <c r="Z15" i="1" s="1"/>
  <c r="AA15" i="1" s="1"/>
  <c r="AC15" i="1" s="1"/>
  <c r="Y16" i="1"/>
  <c r="Z16" i="1" s="1"/>
  <c r="AA16" i="1" s="1"/>
  <c r="Y17" i="1"/>
  <c r="Z17" i="1" s="1"/>
  <c r="AA17" i="1" s="1"/>
  <c r="Y18" i="1"/>
  <c r="Z18" i="1" s="1"/>
  <c r="AA18" i="1" s="1"/>
  <c r="Y19" i="1"/>
  <c r="Z19" i="1" s="1"/>
  <c r="AA19" i="1" s="1"/>
  <c r="AC19" i="1" s="1"/>
  <c r="AD19" i="1" s="1"/>
  <c r="Y14" i="1"/>
  <c r="Z14" i="1" s="1"/>
  <c r="AA14" i="1" s="1"/>
  <c r="AC14" i="1" s="1"/>
  <c r="AD14" i="1" s="1"/>
  <c r="AD15" i="1" l="1"/>
  <c r="AC18" i="1"/>
  <c r="AD18" i="1" s="1"/>
  <c r="AC11" i="1"/>
  <c r="AD11" i="1" s="1"/>
  <c r="AH11" i="1" s="1"/>
  <c r="AC17" i="1"/>
  <c r="AD17" i="1" s="1"/>
  <c r="AD32" i="1"/>
  <c r="AC3" i="1"/>
  <c r="AD3" i="1" s="1"/>
  <c r="AH3" i="1" s="1"/>
  <c r="AC16" i="1"/>
  <c r="AD16" i="1" s="1"/>
  <c r="AC9" i="1"/>
  <c r="AD9" i="1" s="1"/>
  <c r="AH9" i="1" s="1"/>
  <c r="AC7" i="1"/>
  <c r="AD7" i="1" s="1"/>
  <c r="AH7" i="1" s="1"/>
  <c r="AC5" i="1"/>
  <c r="AD5" i="1" s="1"/>
  <c r="AH5" i="1" s="1"/>
</calcChain>
</file>

<file path=xl/sharedStrings.xml><?xml version="1.0" encoding="utf-8"?>
<sst xmlns="http://schemas.openxmlformats.org/spreadsheetml/2006/main" count="114" uniqueCount="53">
  <si>
    <t>bed height (m)</t>
  </si>
  <si>
    <t>ch3oh</t>
  </si>
  <si>
    <t>dme</t>
  </si>
  <si>
    <t>h2o</t>
  </si>
  <si>
    <t>c2h4</t>
  </si>
  <si>
    <t>c3h6</t>
  </si>
  <si>
    <t>c4h8</t>
  </si>
  <si>
    <t>c5h10</t>
  </si>
  <si>
    <t>c6h12</t>
  </si>
  <si>
    <t>cx</t>
  </si>
  <si>
    <t>c</t>
  </si>
  <si>
    <t>ch4</t>
  </si>
  <si>
    <t>rxtorexitTmassflow(kt/a)</t>
  </si>
  <si>
    <t>plantcap</t>
  </si>
  <si>
    <t>rxtordiameter</t>
  </si>
  <si>
    <t>catalystweight</t>
  </si>
  <si>
    <t>inletmethanolmassflow(kt/a)</t>
  </si>
  <si>
    <t>V2diff</t>
  </si>
  <si>
    <t>meohconversion</t>
  </si>
  <si>
    <t>Temperature(K)</t>
  </si>
  <si>
    <t>pressure(Pa)</t>
  </si>
  <si>
    <t>Prices</t>
  </si>
  <si>
    <t>Catalyst (SGD$/MT) from alibaba</t>
  </si>
  <si>
    <t>Methanol(SGD$/MT) from ng-tech</t>
  </si>
  <si>
    <t>Ethylene (SGD$/MT) from platts</t>
  </si>
  <si>
    <t>Propylene (SGD$/ton) from platts</t>
  </si>
  <si>
    <t>heater power required for inlet (W) assuming isobaric heater</t>
  </si>
  <si>
    <t>pump power required from 1 atm (kW) from hysys assuming 75% adiabetic efficiency</t>
  </si>
  <si>
    <t>reactor power needed to maintain isothermal (estimation from hysys, kW)</t>
  </si>
  <si>
    <t>reactor power needed to maintain isothermal(estimation from hysys,kW)</t>
  </si>
  <si>
    <t>total heating duty needed (kW)</t>
  </si>
  <si>
    <t>no.2 heating value(kJ/liter)</t>
  </si>
  <si>
    <t>no.2 heating oil (SGD$/kJ)</t>
  </si>
  <si>
    <t>no. 2 heating oil price (SGD/liter) from eia gov us site</t>
  </si>
  <si>
    <t>total heating duty in kJ/a</t>
  </si>
  <si>
    <t>cost of heating duty /a</t>
  </si>
  <si>
    <t>Cost of methanol (SGD$/a)</t>
  </si>
  <si>
    <t>electricity cost for pump/a</t>
  </si>
  <si>
    <t>Price of electricity (for pump) ($/kJ)</t>
  </si>
  <si>
    <t>Assuming Stream factor = 1, ie. Operating 365</t>
  </si>
  <si>
    <t>total utility cost/ a (only pump and heater atm)</t>
  </si>
  <si>
    <t>total manufacturing cost/a (utility + raw material [methanol])</t>
  </si>
  <si>
    <t>earnings from C2C3/a (assuming 100% recovery)</t>
  </si>
  <si>
    <t>butene ($SGD/MT) from platts</t>
  </si>
  <si>
    <t>earnings from C4 (SGD$/a)</t>
  </si>
  <si>
    <t>total earnings (C2,C3,C4) ($SGD/a)</t>
  </si>
  <si>
    <t>profit</t>
  </si>
  <si>
    <t>WHSV</t>
  </si>
  <si>
    <t>bedheight (m)</t>
  </si>
  <si>
    <t>annualized capital cost</t>
  </si>
  <si>
    <t>FCI/total module cost</t>
  </si>
  <si>
    <t>total annualized cost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</si>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</sst>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"/>
  <sheetViews>
    <sheetView tabSelected="1" topLeftCell="AC19" workbookViewId="0">
      <selection activeCell="AK33" sqref="AK33"/>
    </sheetView>
  </sheetViews>
  <sheetFormatPr defaultRowHeight="15" x14ac:dyDescent="0.25"/>
  <cols>
    <col min="1" max="1" width="9.5703125" bestFit="1" customWidth="1"/>
    <col min="2" max="2" width="12.140625" bestFit="1" customWidth="1"/>
    <col min="3" max="4" width="9.5703125" bestFit="1" customWidth="1"/>
    <col min="5" max="5" width="11.140625" bestFit="1" customWidth="1"/>
    <col min="6" max="6" width="12.140625" bestFit="1" customWidth="1"/>
    <col min="7" max="9" width="9.5703125" bestFit="1" customWidth="1"/>
    <col min="10" max="10" width="9.28515625" bestFit="1" customWidth="1"/>
    <col min="11" max="11" width="10" bestFit="1" customWidth="1"/>
    <col min="12" max="20" width="9.5703125" bestFit="1" customWidth="1"/>
    <col min="22" max="25" width="9.5703125" bestFit="1" customWidth="1"/>
    <col min="26" max="27" width="12.140625" bestFit="1" customWidth="1"/>
    <col min="28" max="28" width="11.140625" bestFit="1" customWidth="1"/>
    <col min="29" max="29" width="12.140625" bestFit="1" customWidth="1"/>
    <col min="30" max="30" width="10.85546875" customWidth="1"/>
    <col min="31" max="31" width="11.140625" bestFit="1" customWidth="1"/>
    <col min="32" max="32" width="12.140625" bestFit="1" customWidth="1"/>
    <col min="33" max="33" width="11.140625" bestFit="1" customWidth="1"/>
    <col min="34" max="34" width="11.85546875" bestFit="1" customWidth="1"/>
    <col min="35" max="35" width="11.28515625" customWidth="1"/>
    <col min="36" max="36" width="10.28515625" bestFit="1" customWidth="1"/>
    <col min="37" max="37" width="12.140625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V1" s="1" t="s">
        <v>27</v>
      </c>
      <c r="W1" s="1" t="s">
        <v>26</v>
      </c>
      <c r="X1" s="1" t="s">
        <v>29</v>
      </c>
      <c r="Y1" s="1" t="s">
        <v>30</v>
      </c>
      <c r="Z1" s="1" t="s">
        <v>34</v>
      </c>
      <c r="AA1" s="1" t="s">
        <v>35</v>
      </c>
      <c r="AB1" s="1" t="s">
        <v>37</v>
      </c>
      <c r="AC1" s="1" t="s">
        <v>40</v>
      </c>
      <c r="AD1" s="1" t="s">
        <v>41</v>
      </c>
      <c r="AE1" s="1" t="s">
        <v>42</v>
      </c>
      <c r="AF1" s="1" t="s">
        <v>44</v>
      </c>
      <c r="AG1" s="1" t="s">
        <v>45</v>
      </c>
      <c r="AH1" s="1" t="s">
        <v>46</v>
      </c>
    </row>
    <row r="2" spans="1:37" s="1" customFormat="1" x14ac:dyDescent="0.25">
      <c r="A2" s="1">
        <v>0.5</v>
      </c>
      <c r="B2" s="1">
        <v>81.531583894567476</v>
      </c>
      <c r="C2" s="1">
        <v>9.4204508454643801</v>
      </c>
      <c r="D2" s="1">
        <v>2157.9518310254771</v>
      </c>
      <c r="E2" s="1">
        <v>243.83074875531747</v>
      </c>
      <c r="F2" s="1">
        <v>673.88714297948479</v>
      </c>
      <c r="G2" s="1">
        <v>441.39400005272432</v>
      </c>
      <c r="H2" s="1">
        <v>218.07894871033935</v>
      </c>
      <c r="I2" s="1">
        <v>0.66444318631741872</v>
      </c>
      <c r="J2" s="1">
        <v>3.0641491776180065E-2</v>
      </c>
      <c r="K2" s="1">
        <v>2.2749178579755943E-2</v>
      </c>
      <c r="L2" s="1">
        <v>51.379052444715498</v>
      </c>
      <c r="M2" s="1">
        <v>3878.1915925647636</v>
      </c>
      <c r="N2" s="1">
        <v>917.71789173480227</v>
      </c>
      <c r="O2" s="1">
        <v>6.1113470976314455</v>
      </c>
      <c r="P2" s="1">
        <v>10912.059417888127</v>
      </c>
      <c r="Q2" s="1">
        <v>3761.2679712741656</v>
      </c>
      <c r="R2" s="1">
        <v>-4.0735586792206568E-2</v>
      </c>
      <c r="S2" s="1">
        <v>97.832337804239245</v>
      </c>
      <c r="V2" s="1">
        <v>593.6</v>
      </c>
      <c r="W2" s="1">
        <v>247700</v>
      </c>
      <c r="X2" s="1">
        <v>151500</v>
      </c>
      <c r="Y2" s="1">
        <f t="shared" ref="Y2:Y7" si="0">W2+X2</f>
        <v>399200</v>
      </c>
      <c r="Z2" s="1">
        <f>Y2*3600*24*365</f>
        <v>12589171200000</v>
      </c>
      <c r="AA2" s="1">
        <f t="shared" ref="AA2:AA11" si="1">Z2*$F$47</f>
        <v>318429811.44721615</v>
      </c>
      <c r="AB2" s="1">
        <f t="shared" ref="AB2:AB11" si="2">V2*3600*24*365*$B$45</f>
        <v>1164785.6639999999</v>
      </c>
      <c r="AC2" s="1">
        <f>AA2+AB2</f>
        <v>319594597.11121613</v>
      </c>
      <c r="AD2" s="1">
        <f t="shared" ref="AD2:AD11" si="3">AC2+$E$39</f>
        <v>1645441567.1112161</v>
      </c>
      <c r="AE2" s="1">
        <f t="shared" ref="AE2:AE11" si="4">E2*$B$40*1000+F2*$B$41*1000</f>
        <v>1162428239.826431</v>
      </c>
      <c r="AF2" s="1">
        <f>G2*1000*$B$42</f>
        <v>740614992.68846607</v>
      </c>
      <c r="AG2" s="1">
        <f>AE2+AF2</f>
        <v>1903043232.5148971</v>
      </c>
      <c r="AH2" s="1">
        <f>AG2-AD2</f>
        <v>257601665.40368104</v>
      </c>
    </row>
    <row r="3" spans="1:37" s="1" customFormat="1" x14ac:dyDescent="0.25">
      <c r="A3" s="1">
        <v>1.5</v>
      </c>
      <c r="B3" s="1">
        <v>25.249524605366794</v>
      </c>
      <c r="C3" s="1">
        <v>3.1603812344772728</v>
      </c>
      <c r="D3" s="1">
        <v>2155.0153231219724</v>
      </c>
      <c r="E3" s="1">
        <v>260.7102078603703</v>
      </c>
      <c r="F3" s="1">
        <v>608.47383025692352</v>
      </c>
      <c r="G3" s="1">
        <v>469.05156305941273</v>
      </c>
      <c r="H3" s="1">
        <v>234.59352947183334</v>
      </c>
      <c r="I3" s="1">
        <v>0.26185184773644293</v>
      </c>
      <c r="J3" s="1">
        <v>1.8431556858835078E-2</v>
      </c>
      <c r="K3" s="1">
        <v>0.26263692613979095</v>
      </c>
      <c r="L3" s="1">
        <v>51.30863386475766</v>
      </c>
      <c r="M3" s="1">
        <v>3808.1059138058486</v>
      </c>
      <c r="N3" s="1">
        <v>869.18403811729377</v>
      </c>
      <c r="O3" s="1">
        <v>6.1113470976314455</v>
      </c>
      <c r="P3" s="1">
        <v>32736.178253664384</v>
      </c>
      <c r="Q3" s="1">
        <v>3761.2679712741656</v>
      </c>
      <c r="R3" s="1">
        <v>-1.0158307858008975E-2</v>
      </c>
      <c r="S3" s="1">
        <v>99.328696471556825</v>
      </c>
      <c r="V3" s="1">
        <v>593.6</v>
      </c>
      <c r="W3" s="1">
        <v>247700</v>
      </c>
      <c r="X3" s="1">
        <v>151500</v>
      </c>
      <c r="Y3" s="1">
        <f t="shared" si="0"/>
        <v>399200</v>
      </c>
      <c r="Z3" s="1">
        <f t="shared" ref="Z3:Z11" si="5">Y3*3600*24*365</f>
        <v>12589171200000</v>
      </c>
      <c r="AA3" s="1">
        <f t="shared" si="1"/>
        <v>318429811.44721615</v>
      </c>
      <c r="AB3" s="1">
        <f t="shared" si="2"/>
        <v>1164785.6639999999</v>
      </c>
      <c r="AC3" s="1">
        <f t="shared" ref="AC3:AC11" si="6">AA3+AB3</f>
        <v>319594597.11121613</v>
      </c>
      <c r="AD3" s="1">
        <f t="shared" si="3"/>
        <v>1645441567.1112161</v>
      </c>
      <c r="AE3" s="1">
        <f t="shared" si="4"/>
        <v>1105508292.5344388</v>
      </c>
      <c r="AF3" s="1">
        <f t="shared" ref="AF3:AF11" si="7">G3*1000*$B$42</f>
        <v>787021617.65738857</v>
      </c>
      <c r="AG3" s="1">
        <f t="shared" ref="AG3:AG11" si="8">AE3+AF3</f>
        <v>1892529910.1918273</v>
      </c>
      <c r="AH3" s="1">
        <f t="shared" ref="AH3:AH11" si="9">AG3-AD3</f>
        <v>247088343.08061123</v>
      </c>
    </row>
    <row r="4" spans="1:37" s="1" customFormat="1" x14ac:dyDescent="0.25">
      <c r="A4" s="1">
        <v>2.5</v>
      </c>
      <c r="B4" s="1">
        <v>17.706408042520401</v>
      </c>
      <c r="C4" s="1">
        <v>1.6056095409138185</v>
      </c>
      <c r="D4" s="1">
        <v>2155.830987918268</v>
      </c>
      <c r="E4" s="1">
        <v>275.14514636863663</v>
      </c>
      <c r="F4" s="1">
        <v>554.47219225089054</v>
      </c>
      <c r="G4" s="1">
        <v>492.10509094908593</v>
      </c>
      <c r="H4" s="1">
        <v>249.03594290541687</v>
      </c>
      <c r="I4" s="1">
        <v>0.20184108509697632</v>
      </c>
      <c r="J4" s="1">
        <v>1.5905646570187729E-2</v>
      </c>
      <c r="K4" s="1">
        <v>0.49343171127549212</v>
      </c>
      <c r="L4" s="1">
        <v>51.332491710884568</v>
      </c>
      <c r="M4" s="1">
        <v>3797.9450481295589</v>
      </c>
      <c r="N4" s="1">
        <v>829.61733861952723</v>
      </c>
      <c r="O4" s="1">
        <v>6.1113470976314455</v>
      </c>
      <c r="P4" s="1">
        <v>54560.297089440639</v>
      </c>
      <c r="Q4" s="1">
        <v>3761.2679712741656</v>
      </c>
      <c r="R4" s="1">
        <v>6.4246060135637606E-3</v>
      </c>
      <c r="S4" s="1">
        <v>99.529243643958651</v>
      </c>
      <c r="V4" s="1">
        <v>593.6</v>
      </c>
      <c r="W4" s="1">
        <v>247700</v>
      </c>
      <c r="X4" s="1">
        <v>151500</v>
      </c>
      <c r="Y4" s="1">
        <f t="shared" si="0"/>
        <v>399200</v>
      </c>
      <c r="Z4" s="1">
        <f t="shared" si="5"/>
        <v>12589171200000</v>
      </c>
      <c r="AA4" s="1">
        <f t="shared" si="1"/>
        <v>318429811.44721615</v>
      </c>
      <c r="AB4" s="1">
        <f t="shared" si="2"/>
        <v>1164785.6639999999</v>
      </c>
      <c r="AC4" s="1">
        <f t="shared" si="6"/>
        <v>319594597.11121613</v>
      </c>
      <c r="AD4" s="1">
        <f t="shared" si="3"/>
        <v>1645441567.1112161</v>
      </c>
      <c r="AE4" s="1">
        <f t="shared" si="4"/>
        <v>1059208064.5419418</v>
      </c>
      <c r="AF4" s="1">
        <f t="shared" si="7"/>
        <v>825703132.10347128</v>
      </c>
      <c r="AG4" s="1">
        <f t="shared" si="8"/>
        <v>1884911196.6454129</v>
      </c>
      <c r="AH4" s="1">
        <f t="shared" si="9"/>
        <v>239469629.53419685</v>
      </c>
    </row>
    <row r="5" spans="1:37" s="1" customFormat="1" x14ac:dyDescent="0.25">
      <c r="A5" s="1">
        <v>3.5</v>
      </c>
      <c r="B5" s="1">
        <v>18.685383288421804</v>
      </c>
      <c r="C5" s="1">
        <v>0.99837378638321317</v>
      </c>
      <c r="D5" s="1">
        <v>2157.1896142454925</v>
      </c>
      <c r="E5" s="1">
        <v>287.11657552367399</v>
      </c>
      <c r="F5" s="1">
        <v>509.79258341248595</v>
      </c>
      <c r="G5" s="1">
        <v>510.56830895186283</v>
      </c>
      <c r="H5" s="1">
        <v>261.3692603234835</v>
      </c>
      <c r="I5" s="1">
        <v>0.20266051788169884</v>
      </c>
      <c r="J5" s="1">
        <v>1.4113924138663974E-2</v>
      </c>
      <c r="K5" s="1">
        <v>0.73730599791496843</v>
      </c>
      <c r="L5" s="1">
        <v>51.369382525856466</v>
      </c>
      <c r="M5" s="1">
        <v>3798.0435624975953</v>
      </c>
      <c r="N5" s="1">
        <v>796.90915893615988</v>
      </c>
      <c r="O5" s="1">
        <v>6.1113470976314455</v>
      </c>
      <c r="P5" s="1">
        <v>76384.41592521689</v>
      </c>
      <c r="Q5" s="1">
        <v>3761.2679712741656</v>
      </c>
      <c r="R5" s="1">
        <v>2.0335969851372759E-2</v>
      </c>
      <c r="S5" s="1">
        <v>99.503215845530619</v>
      </c>
      <c r="V5" s="1">
        <v>593.6</v>
      </c>
      <c r="W5" s="1">
        <v>247700</v>
      </c>
      <c r="X5" s="1">
        <v>151500</v>
      </c>
      <c r="Y5" s="1">
        <f t="shared" si="0"/>
        <v>399200</v>
      </c>
      <c r="Z5" s="1">
        <f t="shared" si="5"/>
        <v>12589171200000</v>
      </c>
      <c r="AA5" s="1">
        <f t="shared" si="1"/>
        <v>318429811.44721615</v>
      </c>
      <c r="AB5" s="1">
        <f t="shared" si="2"/>
        <v>1164785.6639999999</v>
      </c>
      <c r="AC5" s="1">
        <f t="shared" si="6"/>
        <v>319594597.11121613</v>
      </c>
      <c r="AD5" s="1">
        <f t="shared" si="3"/>
        <v>1645441567.1112161</v>
      </c>
      <c r="AE5" s="1">
        <f t="shared" si="4"/>
        <v>1020939464.9108541</v>
      </c>
      <c r="AF5" s="1">
        <f t="shared" si="7"/>
        <v>856682565.5903306</v>
      </c>
      <c r="AG5" s="1">
        <f t="shared" si="8"/>
        <v>1877622030.5011847</v>
      </c>
      <c r="AH5" s="1">
        <f t="shared" si="9"/>
        <v>232180463.38996863</v>
      </c>
    </row>
    <row r="6" spans="1:37" s="1" customFormat="1" x14ac:dyDescent="0.25">
      <c r="A6" s="1">
        <v>4.5</v>
      </c>
      <c r="B6" s="1">
        <v>16.514495772230312</v>
      </c>
      <c r="C6" s="1">
        <v>0.73949134327983046</v>
      </c>
      <c r="D6" s="1">
        <v>2158.6410091078592</v>
      </c>
      <c r="E6" s="1">
        <v>297.14052321227916</v>
      </c>
      <c r="F6" s="1">
        <v>472.27597039272251</v>
      </c>
      <c r="G6" s="1">
        <v>525.43141160408084</v>
      </c>
      <c r="H6" s="1">
        <v>272.02744280817774</v>
      </c>
      <c r="I6" s="1">
        <v>0.18311706973894998</v>
      </c>
      <c r="J6" s="1">
        <v>1.2657330237473702E-2</v>
      </c>
      <c r="K6" s="1">
        <v>0.99768900635784352</v>
      </c>
      <c r="L6" s="1">
        <v>51.40651653033661</v>
      </c>
      <c r="M6" s="1">
        <v>3795.3703241773001</v>
      </c>
      <c r="N6" s="1">
        <v>769.41649360500173</v>
      </c>
      <c r="O6" s="1">
        <v>6.1113470976314455</v>
      </c>
      <c r="P6" s="1">
        <v>98208.534760993149</v>
      </c>
      <c r="Q6" s="1">
        <v>3761.2679712741656</v>
      </c>
      <c r="R6" s="1">
        <v>3.2131981250434372E-2</v>
      </c>
      <c r="S6" s="1">
        <v>99.560932751977376</v>
      </c>
      <c r="V6" s="1">
        <v>593.6</v>
      </c>
      <c r="W6" s="1">
        <v>247700</v>
      </c>
      <c r="X6" s="1">
        <v>151500</v>
      </c>
      <c r="Y6" s="1">
        <f t="shared" si="0"/>
        <v>399200</v>
      </c>
      <c r="Z6" s="1">
        <f t="shared" si="5"/>
        <v>12589171200000</v>
      </c>
      <c r="AA6" s="1">
        <f t="shared" si="1"/>
        <v>318429811.44721615</v>
      </c>
      <c r="AB6" s="1">
        <f t="shared" si="2"/>
        <v>1164785.6639999999</v>
      </c>
      <c r="AC6" s="1">
        <f t="shared" si="6"/>
        <v>319594597.11121613</v>
      </c>
      <c r="AD6" s="1">
        <f t="shared" si="3"/>
        <v>1645441567.1112161</v>
      </c>
      <c r="AE6" s="1">
        <f t="shared" si="4"/>
        <v>988767121.21121073</v>
      </c>
      <c r="AF6" s="1">
        <f t="shared" si="7"/>
        <v>881621365.53048718</v>
      </c>
      <c r="AG6" s="1">
        <f t="shared" si="8"/>
        <v>1870388486.7416978</v>
      </c>
      <c r="AH6" s="1">
        <f t="shared" si="9"/>
        <v>224946919.63048172</v>
      </c>
    </row>
    <row r="7" spans="1:37" s="1" customFormat="1" x14ac:dyDescent="0.25">
      <c r="A7" s="1">
        <v>5.5</v>
      </c>
      <c r="B7" s="1">
        <v>15.172612050698746</v>
      </c>
      <c r="C7" s="1">
        <v>0.58743409939498592</v>
      </c>
      <c r="D7" s="1">
        <v>2160.2264636105497</v>
      </c>
      <c r="E7" s="1">
        <v>305.49964232269275</v>
      </c>
      <c r="F7" s="1">
        <v>440.85972349248988</v>
      </c>
      <c r="G7" s="1">
        <v>537.24185273226658</v>
      </c>
      <c r="H7" s="1">
        <v>281.24703363944411</v>
      </c>
      <c r="I7" s="1">
        <v>0.17008033543946646</v>
      </c>
      <c r="J7" s="1">
        <v>1.147150586518255E-2</v>
      </c>
      <c r="K7" s="1">
        <v>1.2705517861090383</v>
      </c>
      <c r="L7" s="1">
        <v>51.446538458103255</v>
      </c>
      <c r="M7" s="1">
        <v>3793.7334040330543</v>
      </c>
      <c r="N7" s="1">
        <v>746.35936581518263</v>
      </c>
      <c r="O7" s="1">
        <v>6.1113470976314455</v>
      </c>
      <c r="P7" s="1">
        <v>120032.65359676941</v>
      </c>
      <c r="Q7" s="1">
        <v>3761.2679712741656</v>
      </c>
      <c r="R7" s="1">
        <v>4.2565668804255274E-2</v>
      </c>
      <c r="S7" s="1">
        <v>99.596609117814097</v>
      </c>
      <c r="V7" s="1">
        <v>593.6</v>
      </c>
      <c r="W7" s="1">
        <v>247700</v>
      </c>
      <c r="X7" s="1">
        <v>151500</v>
      </c>
      <c r="Y7" s="1">
        <f t="shared" si="0"/>
        <v>399200</v>
      </c>
      <c r="Z7" s="1">
        <f t="shared" si="5"/>
        <v>12589171200000</v>
      </c>
      <c r="AA7" s="1">
        <f t="shared" si="1"/>
        <v>318429811.44721615</v>
      </c>
      <c r="AB7" s="1">
        <f t="shared" si="2"/>
        <v>1164785.6639999999</v>
      </c>
      <c r="AC7" s="1">
        <f t="shared" si="6"/>
        <v>319594597.11121613</v>
      </c>
      <c r="AD7" s="1">
        <f t="shared" si="3"/>
        <v>1645441567.1112161</v>
      </c>
      <c r="AE7" s="1">
        <f t="shared" si="4"/>
        <v>961778027.76478601</v>
      </c>
      <c r="AF7" s="1">
        <f t="shared" si="7"/>
        <v>901438104.69946992</v>
      </c>
      <c r="AG7" s="1">
        <f t="shared" si="8"/>
        <v>1863216132.4642558</v>
      </c>
      <c r="AH7" s="1">
        <f t="shared" si="9"/>
        <v>217774565.35303974</v>
      </c>
    </row>
    <row r="8" spans="1:37" s="1" customFormat="1" x14ac:dyDescent="0.25">
      <c r="A8" s="1">
        <v>6.5</v>
      </c>
      <c r="B8" s="1">
        <v>14.266409072199224</v>
      </c>
      <c r="C8" s="1">
        <v>0.48861412355555894</v>
      </c>
      <c r="D8" s="1">
        <v>2161.9072126603091</v>
      </c>
      <c r="E8" s="1">
        <v>312.48276598150494</v>
      </c>
      <c r="F8" s="1">
        <v>414.45266329777775</v>
      </c>
      <c r="G8" s="1">
        <v>546.55448210881389</v>
      </c>
      <c r="H8" s="1">
        <v>289.27075281131334</v>
      </c>
      <c r="I8" s="1">
        <v>0.16066675085046167</v>
      </c>
      <c r="J8" s="1">
        <v>1.049781233423132E-2</v>
      </c>
      <c r="K8" s="1">
        <v>1.5542889202891048</v>
      </c>
      <c r="L8" s="1">
        <v>51.488552255470772</v>
      </c>
      <c r="M8" s="1">
        <v>3792.6369057944189</v>
      </c>
      <c r="N8" s="1">
        <v>726.93542927928274</v>
      </c>
      <c r="O8" s="1">
        <v>6.1113470976314455</v>
      </c>
      <c r="P8" s="1">
        <v>141856.77243254567</v>
      </c>
      <c r="Q8" s="1">
        <v>3761.2679712741656</v>
      </c>
      <c r="R8" s="1">
        <v>5.1922550896916775E-2</v>
      </c>
      <c r="S8" s="1">
        <v>99.620702136057417</v>
      </c>
      <c r="V8" s="1">
        <v>593.6</v>
      </c>
      <c r="W8" s="1">
        <v>247700</v>
      </c>
      <c r="X8" s="1">
        <v>151500</v>
      </c>
      <c r="Y8" s="1">
        <f t="shared" ref="Y8:Y11" si="10">W8+X8</f>
        <v>399200</v>
      </c>
      <c r="Z8" s="1">
        <f t="shared" si="5"/>
        <v>12589171200000</v>
      </c>
      <c r="AA8" s="1">
        <f t="shared" si="1"/>
        <v>318429811.44721615</v>
      </c>
      <c r="AB8" s="1">
        <f t="shared" si="2"/>
        <v>1164785.6639999999</v>
      </c>
      <c r="AC8" s="1">
        <f t="shared" si="6"/>
        <v>319594597.11121613</v>
      </c>
      <c r="AD8" s="1">
        <f t="shared" si="3"/>
        <v>1645441567.1112161</v>
      </c>
      <c r="AE8" s="1">
        <f t="shared" si="4"/>
        <v>939032699.49157071</v>
      </c>
      <c r="AF8" s="1">
        <f t="shared" si="7"/>
        <v>917063765.53037882</v>
      </c>
      <c r="AG8" s="1">
        <f t="shared" si="8"/>
        <v>1856096465.0219495</v>
      </c>
      <c r="AH8" s="1">
        <f t="shared" si="9"/>
        <v>210654897.91073346</v>
      </c>
    </row>
    <row r="9" spans="1:37" s="1" customFormat="1" x14ac:dyDescent="0.25">
      <c r="A9" s="1">
        <v>7.5</v>
      </c>
      <c r="B9" s="1">
        <v>13.616911193446965</v>
      </c>
      <c r="C9" s="1">
        <v>0.41927261672716282</v>
      </c>
      <c r="D9" s="1">
        <v>2163.6616638392957</v>
      </c>
      <c r="E9" s="1">
        <v>318.33055738514855</v>
      </c>
      <c r="F9" s="1">
        <v>392.15348302767086</v>
      </c>
      <c r="G9" s="1">
        <v>553.83031958054914</v>
      </c>
      <c r="H9" s="1">
        <v>296.3010265885149</v>
      </c>
      <c r="I9" s="1">
        <v>0.15351788928294008</v>
      </c>
      <c r="J9" s="1">
        <v>9.6946274693094601E-3</v>
      </c>
      <c r="K9" s="1">
        <v>1.8474582703469533</v>
      </c>
      <c r="L9" s="1">
        <v>51.532087950997237</v>
      </c>
      <c r="M9" s="1">
        <v>3791.8559929694502</v>
      </c>
      <c r="N9" s="1">
        <v>710.48404041281947</v>
      </c>
      <c r="O9" s="1">
        <v>6.1113470976314455</v>
      </c>
      <c r="P9" s="1">
        <v>163680.89126832192</v>
      </c>
      <c r="Q9" s="1">
        <v>3761.2679712741656</v>
      </c>
      <c r="R9" s="1">
        <v>6.041702341555677E-2</v>
      </c>
      <c r="S9" s="1">
        <v>99.637970192566883</v>
      </c>
      <c r="V9" s="1">
        <v>593.6</v>
      </c>
      <c r="W9" s="1">
        <v>247700</v>
      </c>
      <c r="X9" s="1">
        <v>151500</v>
      </c>
      <c r="Y9" s="1">
        <f t="shared" si="10"/>
        <v>399200</v>
      </c>
      <c r="Z9" s="1">
        <f t="shared" si="5"/>
        <v>12589171200000</v>
      </c>
      <c r="AA9" s="1">
        <f t="shared" si="1"/>
        <v>318429811.44721615</v>
      </c>
      <c r="AB9" s="1">
        <f t="shared" si="2"/>
        <v>1164785.6639999999</v>
      </c>
      <c r="AC9" s="1">
        <f t="shared" si="6"/>
        <v>319594597.11121613</v>
      </c>
      <c r="AD9" s="1">
        <f t="shared" si="3"/>
        <v>1645441567.1112161</v>
      </c>
      <c r="AE9" s="1">
        <f t="shared" si="4"/>
        <v>919758008.82604432</v>
      </c>
      <c r="AF9" s="1">
        <f t="shared" si="7"/>
        <v>929271893.22420335</v>
      </c>
      <c r="AG9" s="1">
        <f t="shared" si="8"/>
        <v>1849029902.0502477</v>
      </c>
      <c r="AH9" s="1">
        <f t="shared" si="9"/>
        <v>203588334.9390316</v>
      </c>
    </row>
    <row r="10" spans="1:37" s="1" customFormat="1" x14ac:dyDescent="0.25">
      <c r="A10" s="1">
        <v>8.5</v>
      </c>
      <c r="B10" s="1">
        <v>13.130797574021772</v>
      </c>
      <c r="C10" s="1">
        <v>0.36773012376241448</v>
      </c>
      <c r="D10" s="1">
        <v>2165.4758073441362</v>
      </c>
      <c r="E10" s="1">
        <v>323.24128737036892</v>
      </c>
      <c r="F10" s="1">
        <v>373.22328304969091</v>
      </c>
      <c r="G10" s="1">
        <v>559.44805682687911</v>
      </c>
      <c r="H10" s="1">
        <v>302.50475723356971</v>
      </c>
      <c r="I10" s="1">
        <v>0.14789520204544579</v>
      </c>
      <c r="J10" s="1">
        <v>9.0295355052344116E-3</v>
      </c>
      <c r="K10" s="1">
        <v>2.1488207919379865</v>
      </c>
      <c r="L10" s="1">
        <v>51.576851454724085</v>
      </c>
      <c r="M10" s="1">
        <v>3791.2743165066413</v>
      </c>
      <c r="N10" s="1">
        <v>696.46457042005989</v>
      </c>
      <c r="O10" s="1">
        <v>6.1113470976314455</v>
      </c>
      <c r="P10" s="1">
        <v>185505.01010409818</v>
      </c>
      <c r="Q10" s="1">
        <v>3761.2679712741656</v>
      </c>
      <c r="R10" s="1">
        <v>6.8214726006203819E-2</v>
      </c>
      <c r="S10" s="1">
        <v>99.650894387895107</v>
      </c>
      <c r="V10" s="1">
        <v>593.6</v>
      </c>
      <c r="W10" s="1">
        <v>247700</v>
      </c>
      <c r="X10" s="1">
        <v>151500</v>
      </c>
      <c r="Y10" s="1">
        <f t="shared" si="10"/>
        <v>399200</v>
      </c>
      <c r="Z10" s="1">
        <f t="shared" si="5"/>
        <v>12589171200000</v>
      </c>
      <c r="AA10" s="1">
        <f t="shared" si="1"/>
        <v>318429811.44721615</v>
      </c>
      <c r="AB10" s="1">
        <f t="shared" si="2"/>
        <v>1164785.6639999999</v>
      </c>
      <c r="AC10" s="1">
        <f t="shared" si="6"/>
        <v>319594597.11121613</v>
      </c>
      <c r="AD10" s="1">
        <f t="shared" si="3"/>
        <v>1645441567.1112161</v>
      </c>
      <c r="AE10" s="1">
        <f t="shared" si="4"/>
        <v>903321480.30265975</v>
      </c>
      <c r="AF10" s="1">
        <f t="shared" si="7"/>
        <v>938697894.54982042</v>
      </c>
      <c r="AG10" s="1">
        <f t="shared" si="8"/>
        <v>1842019374.8524802</v>
      </c>
      <c r="AH10" s="1">
        <f t="shared" si="9"/>
        <v>196577807.7412641</v>
      </c>
    </row>
    <row r="11" spans="1:37" s="1" customFormat="1" x14ac:dyDescent="0.25">
      <c r="A11" s="1">
        <v>9.5</v>
      </c>
      <c r="B11" s="1">
        <v>12.7545747889622</v>
      </c>
      <c r="C11" s="1">
        <v>0.32772473829625309</v>
      </c>
      <c r="D11" s="1">
        <v>2167.3396951551731</v>
      </c>
      <c r="E11" s="1">
        <v>327.3773523488037</v>
      </c>
      <c r="F11" s="1">
        <v>357.05902064338613</v>
      </c>
      <c r="G11" s="1">
        <v>563.71683420606439</v>
      </c>
      <c r="H11" s="1">
        <v>308.01876372066732</v>
      </c>
      <c r="I11" s="1">
        <v>0.14335528100284853</v>
      </c>
      <c r="J11" s="1">
        <v>8.4765704763539139E-3</v>
      </c>
      <c r="K11" s="1">
        <v>2.4573289889072814</v>
      </c>
      <c r="L11" s="1">
        <v>51.62263784664281</v>
      </c>
      <c r="M11" s="1">
        <v>3790.8257642883827</v>
      </c>
      <c r="N11" s="1">
        <v>684.43637299218983</v>
      </c>
      <c r="O11" s="1">
        <v>6.1113470976314455</v>
      </c>
      <c r="P11" s="1">
        <v>207329.12893987444</v>
      </c>
      <c r="Q11" s="1">
        <v>3761.2679712741656</v>
      </c>
      <c r="R11" s="1">
        <v>7.5445263163892662E-2</v>
      </c>
      <c r="S11" s="1">
        <v>99.660896939905044</v>
      </c>
      <c r="V11" s="1">
        <v>593.6</v>
      </c>
      <c r="W11" s="1">
        <v>247700</v>
      </c>
      <c r="X11" s="1">
        <v>151500</v>
      </c>
      <c r="Y11" s="1">
        <f t="shared" si="10"/>
        <v>399200</v>
      </c>
      <c r="Z11" s="1">
        <f t="shared" si="5"/>
        <v>12589171200000</v>
      </c>
      <c r="AA11" s="1">
        <f t="shared" si="1"/>
        <v>318429811.44721615</v>
      </c>
      <c r="AB11" s="1">
        <f t="shared" si="2"/>
        <v>1164785.6639999999</v>
      </c>
      <c r="AC11" s="1">
        <f t="shared" si="6"/>
        <v>319594597.11121613</v>
      </c>
      <c r="AD11" s="1">
        <f t="shared" si="3"/>
        <v>1645441567.1112161</v>
      </c>
      <c r="AE11" s="1">
        <f t="shared" si="4"/>
        <v>889207728.1977917</v>
      </c>
      <c r="AF11" s="1">
        <f t="shared" si="7"/>
        <v>945860476.11435533</v>
      </c>
      <c r="AG11" s="1">
        <f t="shared" si="8"/>
        <v>1835068204.3121471</v>
      </c>
      <c r="AH11" s="1">
        <f t="shared" si="9"/>
        <v>189626637.20093107</v>
      </c>
    </row>
    <row r="13" spans="1:37" s="2" customFormat="1" x14ac:dyDescent="0.25">
      <c r="A13" s="2" t="s">
        <v>19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13</v>
      </c>
      <c r="O13" s="2" t="s">
        <v>14</v>
      </c>
      <c r="P13" s="2" t="s">
        <v>15</v>
      </c>
      <c r="Q13" s="2" t="s">
        <v>16</v>
      </c>
      <c r="R13" s="2" t="s">
        <v>47</v>
      </c>
      <c r="S13" s="2" t="s">
        <v>18</v>
      </c>
      <c r="T13" s="2" t="s">
        <v>48</v>
      </c>
      <c r="V13" s="2" t="s">
        <v>27</v>
      </c>
      <c r="W13" s="2" t="s">
        <v>26</v>
      </c>
      <c r="X13" s="2" t="s">
        <v>29</v>
      </c>
      <c r="Y13" s="2" t="s">
        <v>30</v>
      </c>
      <c r="Z13" s="2" t="s">
        <v>34</v>
      </c>
      <c r="AA13" s="2" t="s">
        <v>35</v>
      </c>
      <c r="AB13" s="2" t="s">
        <v>37</v>
      </c>
      <c r="AC13" s="2" t="s">
        <v>40</v>
      </c>
      <c r="AD13" s="2" t="s">
        <v>41</v>
      </c>
      <c r="AE13" s="2" t="s">
        <v>42</v>
      </c>
      <c r="AG13" s="2" t="s">
        <v>45</v>
      </c>
      <c r="AH13" s="2" t="s">
        <v>50</v>
      </c>
      <c r="AI13" s="2" t="s">
        <v>49</v>
      </c>
      <c r="AJ13" s="2" t="s">
        <v>51</v>
      </c>
      <c r="AK13" s="2" t="s">
        <v>52</v>
      </c>
    </row>
    <row r="14" spans="1:37" s="2" customFormat="1" x14ac:dyDescent="0.25">
      <c r="A14">
        <v>723.15</v>
      </c>
      <c r="B14">
        <v>418.99551105742876</v>
      </c>
      <c r="C14">
        <v>1.4255922029984909</v>
      </c>
      <c r="D14">
        <v>1912.0549075744384</v>
      </c>
      <c r="E14">
        <v>138.23426995792721</v>
      </c>
      <c r="F14">
        <v>515.58540730034167</v>
      </c>
      <c r="G14">
        <v>449.91345200373706</v>
      </c>
      <c r="H14">
        <v>295.21363890653453</v>
      </c>
      <c r="I14">
        <v>3.8522504125265389</v>
      </c>
      <c r="J14">
        <v>1.8792818515583707E-2</v>
      </c>
      <c r="K14">
        <v>0.16950756658426494</v>
      </c>
      <c r="L14">
        <v>40.850942625942601</v>
      </c>
      <c r="M14">
        <v>3776.3142724269751</v>
      </c>
      <c r="N14">
        <v>653.81967725826883</v>
      </c>
      <c r="O14">
        <v>9.7553588706624019</v>
      </c>
      <c r="P14">
        <v>27500</v>
      </c>
      <c r="Q14">
        <v>3761.2679712741656</v>
      </c>
      <c r="R14">
        <v>15.675858333032728</v>
      </c>
      <c r="S14">
        <v>88.860258980285039</v>
      </c>
      <c r="T14">
        <v>0.49451944830167832</v>
      </c>
      <c r="V14" s="2">
        <v>593.6</v>
      </c>
      <c r="W14" s="2">
        <v>233300</v>
      </c>
      <c r="X14" s="2">
        <v>0</v>
      </c>
      <c r="Y14" s="2">
        <f>W14+X14</f>
        <v>233300</v>
      </c>
      <c r="Z14" s="2">
        <f>Y14*3600*24*365</f>
        <v>7357348800000</v>
      </c>
      <c r="AA14" s="2">
        <f t="shared" ref="AA14:AA19" si="11">Z14*$F$47</f>
        <v>186096380.28716317</v>
      </c>
      <c r="AB14" s="2">
        <f t="shared" ref="AB14:AB19" si="12">V14*3600*24*365*$B$45</f>
        <v>1164785.6639999999</v>
      </c>
      <c r="AC14" s="2">
        <f>AA14+AB14</f>
        <v>187261165.95116317</v>
      </c>
      <c r="AD14" s="2">
        <f t="shared" ref="AD14:AD19" si="13">AC14+$E$39</f>
        <v>1513108135.9511633</v>
      </c>
      <c r="AE14" s="2">
        <f t="shared" ref="AE14:AE19" si="14">E14*$B$40*1000+F14*$B$41*1000</f>
        <v>822732767.62220049</v>
      </c>
      <c r="AF14" s="2">
        <f t="shared" ref="AF14:AF19" si="15">G14*1000*$B$42</f>
        <v>754909781.11707032</v>
      </c>
      <c r="AG14" s="2">
        <f>AE14+AF14</f>
        <v>1577642548.7392707</v>
      </c>
      <c r="AH14" s="2">
        <v>38072740.184421457</v>
      </c>
      <c r="AI14" s="2">
        <f t="shared" ref="AI14:AI19" si="16">AH14*(0.02*(1+0.02)^10)/((1+0.02)^10-1)</f>
        <v>4238505.9710499495</v>
      </c>
      <c r="AJ14" s="2">
        <f>AI14+AD14</f>
        <v>1517346641.9222133</v>
      </c>
      <c r="AK14" s="2">
        <f>AG14-AJ14</f>
        <v>60295906.817057371</v>
      </c>
    </row>
    <row r="15" spans="1:37" s="2" customFormat="1" x14ac:dyDescent="0.25">
      <c r="A15">
        <v>743.15</v>
      </c>
      <c r="B15">
        <v>429.06383623291163</v>
      </c>
      <c r="C15">
        <v>1.3461899506014956</v>
      </c>
      <c r="D15">
        <v>1906.7029777874982</v>
      </c>
      <c r="E15">
        <v>172.49005491087382</v>
      </c>
      <c r="F15">
        <v>525.18260659213604</v>
      </c>
      <c r="G15">
        <v>438.27297165272057</v>
      </c>
      <c r="H15">
        <v>257.02490441694715</v>
      </c>
      <c r="I15">
        <v>3.5080995387022234</v>
      </c>
      <c r="J15">
        <v>2.2800572394747056E-2</v>
      </c>
      <c r="K15">
        <v>9.500019438817052E-2</v>
      </c>
      <c r="L15">
        <v>42.604830577728656</v>
      </c>
      <c r="M15">
        <v>3776.3142724269028</v>
      </c>
      <c r="N15">
        <v>697.67266150300998</v>
      </c>
      <c r="O15">
        <v>9.8893397229460778</v>
      </c>
      <c r="P15">
        <v>27500</v>
      </c>
      <c r="Q15">
        <v>3761.2679712741656</v>
      </c>
      <c r="R15">
        <v>15.675858333032728</v>
      </c>
      <c r="S15">
        <v>88.592574644779646</v>
      </c>
      <c r="T15">
        <v>0.48121070986928449</v>
      </c>
      <c r="V15" s="2">
        <v>593.6</v>
      </c>
      <c r="W15" s="2">
        <v>239200</v>
      </c>
      <c r="X15" s="2">
        <v>0</v>
      </c>
      <c r="Y15" s="2">
        <f t="shared" ref="Y15:Y19" si="17">W15+X15</f>
        <v>239200</v>
      </c>
      <c r="Z15" s="2">
        <f t="shared" ref="Z15:Z19" si="18">Y15*3600*24*365</f>
        <v>7543411200000</v>
      </c>
      <c r="AA15" s="2">
        <f t="shared" si="11"/>
        <v>190802632.51045617</v>
      </c>
      <c r="AB15" s="2">
        <f t="shared" si="12"/>
        <v>1164785.6639999999</v>
      </c>
      <c r="AC15" s="2">
        <f t="shared" ref="AC15:AC19" si="19">AA15+AB15</f>
        <v>191967418.17445618</v>
      </c>
      <c r="AD15" s="2">
        <f>AC15+$E$39</f>
        <v>1517814388.1744561</v>
      </c>
      <c r="AE15" s="2">
        <f t="shared" si="14"/>
        <v>881737661.40405381</v>
      </c>
      <c r="AF15" s="2">
        <f t="shared" si="15"/>
        <v>735378219.13609982</v>
      </c>
      <c r="AG15" s="2">
        <f t="shared" ref="AG15:AG19" si="20">AE15+AF15</f>
        <v>1617115880.5401535</v>
      </c>
      <c r="AH15" s="2">
        <v>38978522.743673474</v>
      </c>
      <c r="AI15" s="2">
        <f t="shared" si="16"/>
        <v>4339343.5983724361</v>
      </c>
      <c r="AJ15" s="2">
        <f t="shared" ref="AJ15:AJ19" si="21">AI15+AD15</f>
        <v>1522153731.7728286</v>
      </c>
      <c r="AK15" s="2">
        <f t="shared" ref="AK15:AK19" si="22">AG15-AJ15</f>
        <v>94962148.767324924</v>
      </c>
    </row>
    <row r="16" spans="1:37" s="2" customFormat="1" x14ac:dyDescent="0.25">
      <c r="A16">
        <v>763.15</v>
      </c>
      <c r="B16">
        <v>439.55927598277049</v>
      </c>
      <c r="C16">
        <v>1.287975599524076</v>
      </c>
      <c r="D16">
        <v>1901.1991131156053</v>
      </c>
      <c r="E16">
        <v>211.03605832049956</v>
      </c>
      <c r="F16">
        <v>527.52312285813014</v>
      </c>
      <c r="G16">
        <v>424.3812479816695</v>
      </c>
      <c r="H16">
        <v>223.75417472356571</v>
      </c>
      <c r="I16">
        <v>3.1865680436955199</v>
      </c>
      <c r="J16">
        <v>2.684032790655929E-2</v>
      </c>
      <c r="K16">
        <v>3.8897135200300387E-2</v>
      </c>
      <c r="L16">
        <v>44.320998338248479</v>
      </c>
      <c r="M16">
        <v>3776.3142724268155</v>
      </c>
      <c r="N16">
        <v>738.55918117862973</v>
      </c>
      <c r="O16">
        <v>10.021529504834421</v>
      </c>
      <c r="P16">
        <v>27500</v>
      </c>
      <c r="Q16">
        <v>3761.2679712741656</v>
      </c>
      <c r="R16">
        <v>15.675858333032728</v>
      </c>
      <c r="S16">
        <v>88.31353470851306</v>
      </c>
      <c r="T16">
        <v>0.46859954011578164</v>
      </c>
      <c r="V16" s="2">
        <v>593.6</v>
      </c>
      <c r="W16" s="2">
        <v>245200</v>
      </c>
      <c r="X16" s="2">
        <v>0</v>
      </c>
      <c r="Y16" s="2">
        <f t="shared" si="17"/>
        <v>245200</v>
      </c>
      <c r="Z16" s="2">
        <f t="shared" si="18"/>
        <v>7732627200000</v>
      </c>
      <c r="AA16" s="2">
        <f t="shared" si="11"/>
        <v>195588651.72058469</v>
      </c>
      <c r="AB16" s="2">
        <f t="shared" si="12"/>
        <v>1164785.6639999999</v>
      </c>
      <c r="AC16" s="2">
        <f t="shared" si="19"/>
        <v>196753437.3845847</v>
      </c>
      <c r="AD16" s="2">
        <f t="shared" si="13"/>
        <v>1522600407.3845847</v>
      </c>
      <c r="AE16" s="2">
        <f t="shared" si="14"/>
        <v>937762073.04803634</v>
      </c>
      <c r="AF16" s="2">
        <f t="shared" si="15"/>
        <v>712069295.98844314</v>
      </c>
      <c r="AG16" s="2">
        <f t="shared" si="20"/>
        <v>1649831369.0364795</v>
      </c>
      <c r="AH16" s="2">
        <v>39892227.836078294</v>
      </c>
      <c r="AI16" s="2">
        <f t="shared" si="16"/>
        <v>4441063.2138027232</v>
      </c>
      <c r="AJ16" s="2">
        <f t="shared" si="21"/>
        <v>1527041470.5983875</v>
      </c>
      <c r="AK16" s="2">
        <f t="shared" si="22"/>
        <v>122789898.43809199</v>
      </c>
    </row>
    <row r="17" spans="1:37" s="2" customFormat="1" x14ac:dyDescent="0.25">
      <c r="A17">
        <v>783.15</v>
      </c>
      <c r="B17">
        <v>450.36573216963404</v>
      </c>
      <c r="C17">
        <v>1.2463517130969879</v>
      </c>
      <c r="D17">
        <v>1895.589939796412</v>
      </c>
      <c r="E17">
        <v>253.54540522043629</v>
      </c>
      <c r="F17">
        <v>523.18054572858057</v>
      </c>
      <c r="G17">
        <v>408.6927645386275</v>
      </c>
      <c r="H17">
        <v>194.77756829945935</v>
      </c>
      <c r="I17">
        <v>2.8883882061770909</v>
      </c>
      <c r="J17">
        <v>3.073818941187462E-2</v>
      </c>
      <c r="K17">
        <v>-2.1392065486957206E-3</v>
      </c>
      <c r="L17">
        <v>45.998977771436174</v>
      </c>
      <c r="M17">
        <v>3776.3142724267236</v>
      </c>
      <c r="N17">
        <v>776.72595094901692</v>
      </c>
      <c r="O17">
        <v>10.15199818147612</v>
      </c>
      <c r="P17">
        <v>27500</v>
      </c>
      <c r="Q17">
        <v>3761.2679712741656</v>
      </c>
      <c r="R17">
        <v>15.675858333032728</v>
      </c>
      <c r="S17">
        <v>88.026225846996269</v>
      </c>
      <c r="T17">
        <v>0.45663249574073772</v>
      </c>
      <c r="V17" s="2">
        <v>593.6</v>
      </c>
      <c r="W17" s="2">
        <v>251300</v>
      </c>
      <c r="X17" s="2">
        <v>0</v>
      </c>
      <c r="Y17" s="2">
        <f t="shared" si="17"/>
        <v>251300</v>
      </c>
      <c r="Z17" s="2">
        <f t="shared" si="18"/>
        <v>7924996800000</v>
      </c>
      <c r="AA17" s="2">
        <f t="shared" si="11"/>
        <v>200454437.91754866</v>
      </c>
      <c r="AB17" s="2">
        <f t="shared" si="12"/>
        <v>1164785.6639999999</v>
      </c>
      <c r="AC17" s="2">
        <f t="shared" si="19"/>
        <v>201619223.58154866</v>
      </c>
      <c r="AD17" s="2">
        <f t="shared" si="13"/>
        <v>1527466193.5815487</v>
      </c>
      <c r="AE17" s="2">
        <f t="shared" si="14"/>
        <v>991058462.86222148</v>
      </c>
      <c r="AF17" s="2">
        <f t="shared" si="15"/>
        <v>685745589.61936307</v>
      </c>
      <c r="AG17" s="2">
        <f t="shared" si="20"/>
        <v>1676804052.4815845</v>
      </c>
      <c r="AH17" s="2">
        <v>40815167.583575875</v>
      </c>
      <c r="AI17" s="2">
        <f t="shared" si="16"/>
        <v>4543810.8913205201</v>
      </c>
      <c r="AJ17" s="2">
        <f t="shared" si="21"/>
        <v>1532010004.4728692</v>
      </c>
      <c r="AK17" s="2">
        <f t="shared" si="22"/>
        <v>144794048.00871539</v>
      </c>
    </row>
    <row r="18" spans="1:37" s="2" customFormat="1" x14ac:dyDescent="0.25">
      <c r="A18">
        <v>803.15</v>
      </c>
      <c r="B18">
        <v>461.36955522169575</v>
      </c>
      <c r="C18">
        <v>1.2178403609608628</v>
      </c>
      <c r="D18">
        <v>1889.9219777907772</v>
      </c>
      <c r="E18">
        <v>299.52288731137082</v>
      </c>
      <c r="F18">
        <v>512.88462795657415</v>
      </c>
      <c r="G18">
        <v>391.60279195483162</v>
      </c>
      <c r="H18">
        <v>169.53920033071245</v>
      </c>
      <c r="I18">
        <v>2.6134920797704155</v>
      </c>
      <c r="J18">
        <v>3.4331577992709993E-2</v>
      </c>
      <c r="K18">
        <v>-3.1195861215303398E-2</v>
      </c>
      <c r="L18">
        <v>47.638763703151646</v>
      </c>
      <c r="M18">
        <v>3776.3142724266227</v>
      </c>
      <c r="N18">
        <v>812.40751526794486</v>
      </c>
      <c r="O18">
        <v>10.280811278159037</v>
      </c>
      <c r="P18">
        <v>27500</v>
      </c>
      <c r="Q18">
        <v>3761.2679712741656</v>
      </c>
      <c r="R18">
        <v>15.675858333032728</v>
      </c>
      <c r="S18">
        <v>87.7336696362689</v>
      </c>
      <c r="T18">
        <v>0.44526145681299728</v>
      </c>
      <c r="V18" s="2">
        <v>593.6</v>
      </c>
      <c r="W18" s="2">
        <v>257400</v>
      </c>
      <c r="X18" s="2">
        <v>0</v>
      </c>
      <c r="Y18" s="2">
        <f t="shared" si="17"/>
        <v>257400</v>
      </c>
      <c r="Z18" s="2">
        <f t="shared" si="18"/>
        <v>8117366400000</v>
      </c>
      <c r="AA18" s="2">
        <f t="shared" si="11"/>
        <v>205320224.11451262</v>
      </c>
      <c r="AB18" s="2">
        <f t="shared" si="12"/>
        <v>1164785.6639999999</v>
      </c>
      <c r="AC18" s="2">
        <f t="shared" si="19"/>
        <v>206485009.77851263</v>
      </c>
      <c r="AD18" s="2">
        <f t="shared" si="13"/>
        <v>1532331979.7785127</v>
      </c>
      <c r="AE18" s="2">
        <f t="shared" si="14"/>
        <v>1041838615.4771402</v>
      </c>
      <c r="AF18" s="2">
        <f t="shared" si="15"/>
        <v>657070324.62101197</v>
      </c>
      <c r="AG18" s="2">
        <f>AE18+AF18</f>
        <v>1698908940.0981522</v>
      </c>
      <c r="AH18" s="2">
        <v>41740892.854238041</v>
      </c>
      <c r="AI18" s="2">
        <f>AH18*(0.02*(1+0.02)^10)/((1+0.02)^10-1)</f>
        <v>4646868.6714605205</v>
      </c>
      <c r="AJ18" s="2">
        <f>AI18+AD18</f>
        <v>1536978848.4499733</v>
      </c>
      <c r="AK18" s="2">
        <f t="shared" si="22"/>
        <v>161930091.64817882</v>
      </c>
    </row>
    <row r="19" spans="1:37" s="2" customFormat="1" x14ac:dyDescent="0.25">
      <c r="A19">
        <v>823.15</v>
      </c>
      <c r="B19">
        <v>472.46412349733646</v>
      </c>
      <c r="C19">
        <v>1.1997948869770609</v>
      </c>
      <c r="D19">
        <v>1884.2401100066477</v>
      </c>
      <c r="E19">
        <v>348.32440394979221</v>
      </c>
      <c r="F19">
        <v>497.47494210376607</v>
      </c>
      <c r="G19">
        <v>373.46761830383343</v>
      </c>
      <c r="H19">
        <v>147.5547231525145</v>
      </c>
      <c r="I19">
        <v>2.3612903952337558</v>
      </c>
      <c r="J19">
        <v>3.7484035810049138E-2</v>
      </c>
      <c r="K19">
        <v>-5.0950028566625997E-2</v>
      </c>
      <c r="L19">
        <v>49.24073212316717</v>
      </c>
      <c r="M19">
        <v>3776.3142724265113</v>
      </c>
      <c r="N19">
        <v>845.79934605355822</v>
      </c>
      <c r="O19">
        <v>10.408030265018915</v>
      </c>
      <c r="P19">
        <v>27500</v>
      </c>
      <c r="Q19">
        <v>3761.2679712741656</v>
      </c>
      <c r="R19">
        <v>15.675858333032728</v>
      </c>
      <c r="S19">
        <v>87.438700802344471</v>
      </c>
      <c r="T19">
        <v>0.43444298006360765</v>
      </c>
      <c r="V19" s="2">
        <v>593.6</v>
      </c>
      <c r="W19" s="2">
        <v>263600</v>
      </c>
      <c r="X19" s="2">
        <v>0</v>
      </c>
      <c r="Y19" s="2">
        <f t="shared" si="17"/>
        <v>263600</v>
      </c>
      <c r="Z19" s="2">
        <f t="shared" si="18"/>
        <v>8312889600000</v>
      </c>
      <c r="AA19" s="2">
        <f t="shared" si="11"/>
        <v>210265777.29831207</v>
      </c>
      <c r="AB19" s="2">
        <f t="shared" si="12"/>
        <v>1164785.6639999999</v>
      </c>
      <c r="AC19" s="2">
        <f t="shared" si="19"/>
        <v>211430562.96231207</v>
      </c>
      <c r="AD19" s="2">
        <f t="shared" si="13"/>
        <v>1537277532.962312</v>
      </c>
      <c r="AE19" s="2">
        <f t="shared" si="14"/>
        <v>1090243632.0659807</v>
      </c>
      <c r="AF19" s="2">
        <f t="shared" si="15"/>
        <v>626641316.752002</v>
      </c>
      <c r="AG19" s="2">
        <f t="shared" si="20"/>
        <v>1716884948.8179827</v>
      </c>
      <c r="AH19" s="2">
        <v>42677595.04488831</v>
      </c>
      <c r="AI19" s="2">
        <f t="shared" si="16"/>
        <v>4751148.4739894504</v>
      </c>
      <c r="AJ19" s="2">
        <f t="shared" si="21"/>
        <v>1542028681.4363015</v>
      </c>
      <c r="AK19" s="2">
        <f t="shared" si="22"/>
        <v>174856267.3816812</v>
      </c>
    </row>
    <row r="26" spans="1:37" x14ac:dyDescent="0.25">
      <c r="A26" t="s">
        <v>20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47</v>
      </c>
      <c r="S26" t="s">
        <v>18</v>
      </c>
      <c r="T26" t="s">
        <v>48</v>
      </c>
      <c r="V26" t="s">
        <v>27</v>
      </c>
      <c r="W26" t="s">
        <v>26</v>
      </c>
      <c r="X26" t="s">
        <v>28</v>
      </c>
      <c r="Y26" t="s">
        <v>30</v>
      </c>
      <c r="Z26" t="s">
        <v>34</v>
      </c>
      <c r="AA26" t="s">
        <v>35</v>
      </c>
      <c r="AB26" t="s">
        <v>37</v>
      </c>
      <c r="AC26" t="s">
        <v>40</v>
      </c>
      <c r="AD26" t="s">
        <v>41</v>
      </c>
      <c r="AE26" t="s">
        <v>42</v>
      </c>
      <c r="AG26" t="s">
        <v>45</v>
      </c>
      <c r="AH26" s="2" t="s">
        <v>50</v>
      </c>
      <c r="AI26" s="2" t="s">
        <v>49</v>
      </c>
      <c r="AJ26" s="2" t="s">
        <v>51</v>
      </c>
      <c r="AK26" s="2" t="s">
        <v>52</v>
      </c>
    </row>
    <row r="27" spans="1:37" x14ac:dyDescent="0.25">
      <c r="A27">
        <v>100000</v>
      </c>
      <c r="B27">
        <v>548.85763844652831</v>
      </c>
      <c r="C27">
        <v>37.719869362989634</v>
      </c>
      <c r="D27">
        <v>1825.1407794373094</v>
      </c>
      <c r="E27">
        <v>291.95919638532109</v>
      </c>
      <c r="F27">
        <v>588.44568379183329</v>
      </c>
      <c r="G27">
        <v>313.6731465903901</v>
      </c>
      <c r="H27">
        <v>120.79175791107559</v>
      </c>
      <c r="I27">
        <v>2.6603913393313743</v>
      </c>
      <c r="J27">
        <v>5.2838935631847342E-2</v>
      </c>
      <c r="K27">
        <v>-0.21714300290751018</v>
      </c>
      <c r="L27">
        <v>47.228034878697059</v>
      </c>
      <c r="M27">
        <v>3776.3121940761998</v>
      </c>
      <c r="N27">
        <v>880.40488017715438</v>
      </c>
      <c r="O27">
        <v>57.007129553473312</v>
      </c>
      <c r="P27">
        <v>27500</v>
      </c>
      <c r="Q27">
        <v>3761.2679712741656</v>
      </c>
      <c r="R27">
        <v>15.675858333032728</v>
      </c>
      <c r="S27">
        <v>85.407643309694905</v>
      </c>
      <c r="T27">
        <v>1.4481432668786928E-2</v>
      </c>
      <c r="V27">
        <v>0</v>
      </c>
      <c r="W27">
        <v>278500</v>
      </c>
      <c r="X27">
        <v>0</v>
      </c>
      <c r="Y27">
        <f t="shared" ref="Y27:Y32" si="23">W27+X27</f>
        <v>278500</v>
      </c>
      <c r="Z27">
        <f t="shared" ref="Z27:Z32" si="24">Y27*3600*24*365</f>
        <v>8782776000000</v>
      </c>
      <c r="AA27" s="2">
        <f t="shared" ref="AA27:AA32" si="25">Z27*$F$47</f>
        <v>222151058.33679786</v>
      </c>
      <c r="AB27" s="2">
        <f t="shared" ref="AB27:AB32" si="26">V27*3600*24*365*$B$45</f>
        <v>0</v>
      </c>
      <c r="AC27" s="2">
        <f>AA27+AB27</f>
        <v>222151058.33679786</v>
      </c>
      <c r="AD27" s="2">
        <f t="shared" ref="AD27:AD29" si="27">AC27+$E$39</f>
        <v>1547998028.336798</v>
      </c>
      <c r="AE27" s="2">
        <f t="shared" ref="AE27:AE29" si="28">E27*$B$40*1000+F27*$B$41*1000</f>
        <v>1124046140.1441455</v>
      </c>
      <c r="AF27" s="2">
        <f t="shared" ref="AF27:AF29" si="29">G27*1000*$B$42</f>
        <v>526312172.66401553</v>
      </c>
      <c r="AG27" s="2">
        <f t="shared" ref="AG27:AG29" si="30">AE27+AF27</f>
        <v>1650358312.808161</v>
      </c>
      <c r="AH27" s="2">
        <v>162010188.75220153</v>
      </c>
      <c r="AI27" s="2">
        <f t="shared" ref="AI27:AI33" si="31">AH27*(0.02*(1+0.02)^10)/((1+0.02)^10-1)</f>
        <v>18036031.792587142</v>
      </c>
      <c r="AJ27" s="2">
        <f>AI27+AD27</f>
        <v>1566034060.129385</v>
      </c>
      <c r="AK27" s="2">
        <f>AG27-AJ27</f>
        <v>84324252.678776026</v>
      </c>
    </row>
    <row r="28" spans="1:37" x14ac:dyDescent="0.25">
      <c r="A28">
        <v>500000</v>
      </c>
      <c r="B28">
        <v>525.539654110058</v>
      </c>
      <c r="C28">
        <v>5.7782746912740626</v>
      </c>
      <c r="D28">
        <v>1851.5739321295318</v>
      </c>
      <c r="E28">
        <v>318.25941249667295</v>
      </c>
      <c r="F28">
        <v>549.75610485862899</v>
      </c>
      <c r="G28">
        <v>341.62867866883568</v>
      </c>
      <c r="H28">
        <v>133.01734578447045</v>
      </c>
      <c r="I28">
        <v>2.5738762144847027</v>
      </c>
      <c r="J28">
        <v>4.2747024055459444E-2</v>
      </c>
      <c r="K28">
        <v>-0.15536854329161973</v>
      </c>
      <c r="L28">
        <v>48.299310239332833</v>
      </c>
      <c r="M28">
        <v>3776.3139676740529</v>
      </c>
      <c r="N28">
        <v>868.01551735530199</v>
      </c>
      <c r="O28">
        <v>25.494363376740715</v>
      </c>
      <c r="P28">
        <v>27500</v>
      </c>
      <c r="Q28">
        <v>3761.2679712741656</v>
      </c>
      <c r="R28">
        <v>15.675858333032728</v>
      </c>
      <c r="S28">
        <v>86.027593404039592</v>
      </c>
      <c r="T28">
        <v>7.2407163343934627E-2</v>
      </c>
      <c r="V28">
        <v>118.2</v>
      </c>
      <c r="W28">
        <v>278000</v>
      </c>
      <c r="X28">
        <v>0</v>
      </c>
      <c r="Y28">
        <f t="shared" si="23"/>
        <v>278000</v>
      </c>
      <c r="Z28">
        <f t="shared" si="24"/>
        <v>8767008000000</v>
      </c>
      <c r="AA28" s="2">
        <f t="shared" si="25"/>
        <v>221752223.40262049</v>
      </c>
      <c r="AB28" s="2">
        <f t="shared" si="26"/>
        <v>231936.76799999998</v>
      </c>
      <c r="AC28" s="2">
        <f>AA28+AB28</f>
        <v>221984160.1706205</v>
      </c>
      <c r="AD28" s="2">
        <f t="shared" si="27"/>
        <v>1547831130.1706204</v>
      </c>
      <c r="AE28" s="2">
        <f t="shared" si="28"/>
        <v>1112880714.3895912</v>
      </c>
      <c r="AF28" s="2">
        <f t="shared" si="29"/>
        <v>573218759.93843937</v>
      </c>
      <c r="AG28" s="2">
        <f t="shared" si="30"/>
        <v>1686099474.3280306</v>
      </c>
      <c r="AH28" s="2">
        <v>63493648.65453545</v>
      </c>
      <c r="AI28" s="2">
        <f t="shared" si="31"/>
        <v>7068527.4462097548</v>
      </c>
      <c r="AJ28" s="2">
        <f t="shared" ref="AJ28:AJ33" si="32">AI28+AD28</f>
        <v>1554899657.6168301</v>
      </c>
      <c r="AK28" s="2">
        <f t="shared" ref="AK28:AK33" si="33">AG28-AJ28</f>
        <v>131199816.71120048</v>
      </c>
    </row>
    <row r="29" spans="1:37" x14ac:dyDescent="0.25">
      <c r="A29">
        <v>1000000</v>
      </c>
      <c r="B29">
        <v>504.1104778800069</v>
      </c>
      <c r="C29">
        <v>2.7305699577217282</v>
      </c>
      <c r="D29">
        <v>1865.2484839942595</v>
      </c>
      <c r="E29">
        <v>331.6903884436984</v>
      </c>
      <c r="F29">
        <v>526.09376689259341</v>
      </c>
      <c r="G29">
        <v>355.86518268979285</v>
      </c>
      <c r="H29">
        <v>139.44778217960442</v>
      </c>
      <c r="I29">
        <v>2.4908722756115589</v>
      </c>
      <c r="J29">
        <v>4.0323815891899879E-2</v>
      </c>
      <c r="K29">
        <v>-0.11258110933475839</v>
      </c>
      <c r="L29">
        <v>48.70900532312222</v>
      </c>
      <c r="M29">
        <v>3776.3142723429683</v>
      </c>
      <c r="N29">
        <v>857.78415533629175</v>
      </c>
      <c r="O29">
        <v>18.027237225727326</v>
      </c>
      <c r="P29">
        <v>27500</v>
      </c>
      <c r="Q29">
        <v>3761.2679712741656</v>
      </c>
      <c r="R29">
        <v>15.675858333032728</v>
      </c>
      <c r="S29">
        <v>86.597326174842181</v>
      </c>
      <c r="T29">
        <v>0.14481432668786925</v>
      </c>
      <c r="V29">
        <v>184.1</v>
      </c>
      <c r="W29">
        <v>250400</v>
      </c>
      <c r="X29">
        <v>0</v>
      </c>
      <c r="Y29">
        <f t="shared" si="23"/>
        <v>250400</v>
      </c>
      <c r="Z29">
        <f t="shared" si="24"/>
        <v>7896614400000</v>
      </c>
      <c r="AA29" s="2">
        <f t="shared" si="25"/>
        <v>199736535.03602937</v>
      </c>
      <c r="AB29" s="2">
        <f t="shared" si="26"/>
        <v>361248.38399999996</v>
      </c>
      <c r="AC29" s="2">
        <f>AA29+AB29</f>
        <v>200097783.42002937</v>
      </c>
      <c r="AD29" s="2">
        <f t="shared" si="27"/>
        <v>1525944753.4200294</v>
      </c>
      <c r="AE29" s="2">
        <f t="shared" si="28"/>
        <v>1102392003.8741796</v>
      </c>
      <c r="AF29" s="2">
        <f t="shared" si="29"/>
        <v>597106190.03520334</v>
      </c>
      <c r="AG29" s="2">
        <f t="shared" si="30"/>
        <v>1699498193.9093828</v>
      </c>
      <c r="AH29" s="2">
        <v>48719977.363376684</v>
      </c>
      <c r="AI29" s="2">
        <f t="shared" si="31"/>
        <v>5423825.9175415421</v>
      </c>
      <c r="AJ29" s="2">
        <f t="shared" si="32"/>
        <v>1531368579.3375709</v>
      </c>
      <c r="AK29" s="2">
        <f t="shared" si="33"/>
        <v>168129614.57181191</v>
      </c>
    </row>
    <row r="30" spans="1:37" x14ac:dyDescent="0.25">
      <c r="A30">
        <v>1500000</v>
      </c>
      <c r="B30">
        <v>491.19123605922891</v>
      </c>
      <c r="C30">
        <v>1.8994132027179658</v>
      </c>
      <c r="D30">
        <v>1873.0842103537193</v>
      </c>
      <c r="E30">
        <v>338.78666008801929</v>
      </c>
      <c r="F30">
        <v>513.76599900368808</v>
      </c>
      <c r="G30">
        <v>363.378714824398</v>
      </c>
      <c r="H30">
        <v>142.8860046098394</v>
      </c>
      <c r="I30">
        <v>2.4389434108436658</v>
      </c>
      <c r="J30">
        <v>3.9097451281358137E-2</v>
      </c>
      <c r="K30">
        <v>-8.7483430959545458E-2</v>
      </c>
      <c r="L30">
        <v>48.931476837859051</v>
      </c>
      <c r="M30">
        <v>3776.3142724106351</v>
      </c>
      <c r="N30">
        <v>852.55265909170737</v>
      </c>
      <c r="O30">
        <v>14.719177558379389</v>
      </c>
      <c r="P30">
        <v>27500</v>
      </c>
      <c r="Q30">
        <v>3761.2679712741656</v>
      </c>
      <c r="R30">
        <v>15.675858333032728</v>
      </c>
      <c r="S30">
        <v>86.940807200906946</v>
      </c>
      <c r="T30">
        <v>0.2172214900318038</v>
      </c>
      <c r="V30">
        <v>286.39999999999998</v>
      </c>
      <c r="W30">
        <v>249800</v>
      </c>
      <c r="X30">
        <v>0</v>
      </c>
      <c r="Y30">
        <f t="shared" si="23"/>
        <v>249800</v>
      </c>
      <c r="Z30">
        <f t="shared" si="24"/>
        <v>7877692800000</v>
      </c>
      <c r="AA30" s="2">
        <f t="shared" si="25"/>
        <v>199257933.11501652</v>
      </c>
      <c r="AB30" s="2">
        <f t="shared" si="26"/>
        <v>561985.53599999985</v>
      </c>
      <c r="AC30" s="2">
        <f t="shared" ref="AC30:AC32" si="34">AA30+AB30</f>
        <v>199819918.65101653</v>
      </c>
      <c r="AD30" s="2">
        <f>AC30+$E$39</f>
        <v>1525666888.6510165</v>
      </c>
      <c r="AE30" s="2">
        <f>E30*$B$40*1000+F30*$B$41*1000</f>
        <v>1097063919.0399001</v>
      </c>
      <c r="AF30" s="2">
        <f>G30*1000*$B$42</f>
        <v>609713145.60385728</v>
      </c>
      <c r="AG30" s="2">
        <f>AE30+AF30</f>
        <v>1706777064.6437573</v>
      </c>
      <c r="AH30" s="2">
        <v>44957521.612049147</v>
      </c>
      <c r="AI30" s="2">
        <f t="shared" si="31"/>
        <v>5004964.7824993571</v>
      </c>
      <c r="AJ30" s="2">
        <f>AI30+AD30</f>
        <v>1530671853.4335158</v>
      </c>
      <c r="AK30" s="2">
        <f t="shared" si="33"/>
        <v>176105211.21024156</v>
      </c>
    </row>
    <row r="31" spans="1:37" x14ac:dyDescent="0.25">
      <c r="A31">
        <v>2000000</v>
      </c>
      <c r="B31">
        <v>482.74246708201446</v>
      </c>
      <c r="C31">
        <v>1.5314778817606616</v>
      </c>
      <c r="D31">
        <v>1878.1378794606046</v>
      </c>
      <c r="E31">
        <v>343.17869107419995</v>
      </c>
      <c r="F31">
        <v>506.22501152861918</v>
      </c>
      <c r="G31">
        <v>368.0259806589425</v>
      </c>
      <c r="H31">
        <v>145.02883164588351</v>
      </c>
      <c r="I31">
        <v>2.4042440156602516</v>
      </c>
      <c r="J31">
        <v>3.8350397810119112E-2</v>
      </c>
      <c r="K31">
        <v>-7.1068017235584341E-2</v>
      </c>
      <c r="L31">
        <v>49.072406693916101</v>
      </c>
      <c r="M31">
        <v>3776.3142724221757</v>
      </c>
      <c r="N31">
        <v>849.40370260281918</v>
      </c>
      <c r="O31">
        <v>12.747181688370357</v>
      </c>
      <c r="P31">
        <v>27500</v>
      </c>
      <c r="Q31">
        <v>3761.2679712741656</v>
      </c>
      <c r="R31">
        <v>15.675858333032728</v>
      </c>
      <c r="S31">
        <v>87.165432753825286</v>
      </c>
      <c r="T31">
        <v>0.28962865337573851</v>
      </c>
      <c r="V31">
        <v>388.7</v>
      </c>
      <c r="W31">
        <v>249100</v>
      </c>
      <c r="X31">
        <v>0</v>
      </c>
      <c r="Y31">
        <f t="shared" si="23"/>
        <v>249100</v>
      </c>
      <c r="Z31">
        <f t="shared" si="24"/>
        <v>7855617600000</v>
      </c>
      <c r="AA31" s="2">
        <f t="shared" si="25"/>
        <v>198699564.20716822</v>
      </c>
      <c r="AB31" s="2">
        <f t="shared" si="26"/>
        <v>762722.68799999997</v>
      </c>
      <c r="AC31" s="2">
        <f t="shared" si="34"/>
        <v>199462286.89516822</v>
      </c>
      <c r="AD31" s="2">
        <f>AC31+$E$39</f>
        <v>1525309256.8951683</v>
      </c>
      <c r="AE31" s="2">
        <f>E31*$B$40*1000+F31*$B$41*1000</f>
        <v>1093875279.1254089</v>
      </c>
      <c r="AF31" s="2">
        <f>G31*1000*$B$42</f>
        <v>617510792.94763958</v>
      </c>
      <c r="AG31" s="2">
        <f>AE31+AF31</f>
        <v>1711386072.0730486</v>
      </c>
      <c r="AH31" s="2">
        <v>43248559.072537415</v>
      </c>
      <c r="AI31" s="2">
        <f t="shared" si="31"/>
        <v>4814711.916723622</v>
      </c>
      <c r="AJ31" s="2">
        <f t="shared" si="32"/>
        <v>1530123968.811892</v>
      </c>
      <c r="AK31" s="2">
        <f t="shared" si="33"/>
        <v>181262103.26115656</v>
      </c>
    </row>
    <row r="32" spans="1:37" x14ac:dyDescent="0.25">
      <c r="A32">
        <v>2500000</v>
      </c>
      <c r="B32">
        <v>476.82604182856102</v>
      </c>
      <c r="C32">
        <v>1.3279032901967185</v>
      </c>
      <c r="D32">
        <v>1881.6553816232511</v>
      </c>
      <c r="E32">
        <v>346.16392195255452</v>
      </c>
      <c r="F32">
        <v>501.13800282578404</v>
      </c>
      <c r="G32">
        <v>371.18331003864915</v>
      </c>
      <c r="H32">
        <v>146.49211984672093</v>
      </c>
      <c r="I32">
        <v>2.3796149342897492</v>
      </c>
      <c r="J32">
        <v>3.7846754982488122E-2</v>
      </c>
      <c r="K32">
        <v>-5.9515142283254545E-2</v>
      </c>
      <c r="L32">
        <v>49.169644472653232</v>
      </c>
      <c r="M32">
        <v>3776.3142724253594</v>
      </c>
      <c r="N32">
        <v>847.30192477833862</v>
      </c>
      <c r="O32">
        <v>11.401425910694664</v>
      </c>
      <c r="P32">
        <v>27500</v>
      </c>
      <c r="Q32">
        <v>3761.2679712741656</v>
      </c>
      <c r="R32">
        <v>15.675858333032728</v>
      </c>
      <c r="S32">
        <v>87.322731444018018</v>
      </c>
      <c r="T32">
        <v>0.36203581671967305</v>
      </c>
      <c r="V32">
        <v>491</v>
      </c>
      <c r="W32">
        <v>248400</v>
      </c>
      <c r="X32">
        <v>0</v>
      </c>
      <c r="Y32">
        <f t="shared" si="23"/>
        <v>248400</v>
      </c>
      <c r="Z32">
        <f t="shared" si="24"/>
        <v>7833542400000</v>
      </c>
      <c r="AA32" s="2">
        <f t="shared" si="25"/>
        <v>198141195.29931989</v>
      </c>
      <c r="AB32" s="2">
        <f t="shared" si="26"/>
        <v>963459.84</v>
      </c>
      <c r="AC32" s="2">
        <f t="shared" si="34"/>
        <v>199104655.1393199</v>
      </c>
      <c r="AD32" s="2">
        <f>AC32+$E$39</f>
        <v>1524951625.1393199</v>
      </c>
      <c r="AE32" s="2">
        <f>E32*$B$40*1000+F32*$B$41*1000</f>
        <v>1091755239.8369839</v>
      </c>
      <c r="AF32" s="2">
        <f>G32*1000*$B$42</f>
        <v>622808475.91384935</v>
      </c>
      <c r="AG32" s="2">
        <f>AE32+AF32</f>
        <v>1714563715.7508333</v>
      </c>
      <c r="AH32" s="2">
        <v>42377660.895983271</v>
      </c>
      <c r="AI32" s="2">
        <f t="shared" si="31"/>
        <v>4717757.8466036133</v>
      </c>
      <c r="AJ32" s="2">
        <f t="shared" si="32"/>
        <v>1529669382.9859235</v>
      </c>
      <c r="AK32" s="2">
        <f>AG32-AJ32</f>
        <v>184894332.76490974</v>
      </c>
    </row>
    <row r="33" spans="1:37" x14ac:dyDescent="0.25">
      <c r="A33">
        <v>3000000</v>
      </c>
      <c r="B33">
        <v>472.46412349733646</v>
      </c>
      <c r="C33">
        <v>1.1997948869770609</v>
      </c>
      <c r="D33">
        <v>1884.2401100066477</v>
      </c>
      <c r="E33">
        <v>348.32440394979221</v>
      </c>
      <c r="F33">
        <v>497.47494210376607</v>
      </c>
      <c r="G33">
        <v>373.46761830383343</v>
      </c>
      <c r="H33">
        <v>147.5547231525145</v>
      </c>
      <c r="I33">
        <v>2.3612903952337558</v>
      </c>
      <c r="J33">
        <v>3.7484035810049138E-2</v>
      </c>
      <c r="K33">
        <v>-5.0950028566625997E-2</v>
      </c>
      <c r="L33">
        <v>49.24073212316717</v>
      </c>
      <c r="M33">
        <v>3776.3142724265113</v>
      </c>
      <c r="N33">
        <v>845.79934605355822</v>
      </c>
      <c r="O33">
        <v>10.408030265018915</v>
      </c>
      <c r="P33">
        <v>27500</v>
      </c>
      <c r="Q33">
        <v>3761.2679712741656</v>
      </c>
      <c r="R33">
        <v>15.675858333032728</v>
      </c>
      <c r="S33">
        <v>87.438700802344471</v>
      </c>
      <c r="T33">
        <v>0.43444298006360765</v>
      </c>
      <c r="V33">
        <v>593.29999999999995</v>
      </c>
      <c r="W33">
        <v>247700</v>
      </c>
      <c r="X33">
        <v>0</v>
      </c>
      <c r="Y33">
        <f>W33+X33</f>
        <v>247700</v>
      </c>
      <c r="Z33">
        <f>Y33*3600*24*365</f>
        <v>7811467200000</v>
      </c>
      <c r="AA33" s="2">
        <f>Z33*$F$47</f>
        <v>197582826.39147156</v>
      </c>
      <c r="AB33" s="2">
        <f>V33*3600*24*365*$B$45</f>
        <v>1164196.9919999999</v>
      </c>
      <c r="AC33" s="2">
        <f>AA33+AB33</f>
        <v>198747023.38347158</v>
      </c>
      <c r="AD33" s="2">
        <f>AC33+$E$39</f>
        <v>1524593993.3834715</v>
      </c>
      <c r="AE33" s="2">
        <f>E33*$B$40*1000+F33*$B$41*1000</f>
        <v>1090243632.0659807</v>
      </c>
      <c r="AF33" s="2">
        <f>G33*1000*$B$42</f>
        <v>626641316.752002</v>
      </c>
      <c r="AG33" s="2">
        <f>AE33+AF33</f>
        <v>1716884948.8179827</v>
      </c>
      <c r="AH33" s="2">
        <v>41933567.812498204</v>
      </c>
      <c r="AI33" s="2">
        <f t="shared" si="31"/>
        <v>4668318.5055702189</v>
      </c>
      <c r="AJ33" s="2">
        <f t="shared" si="32"/>
        <v>1529262311.8890417</v>
      </c>
      <c r="AK33" s="2">
        <f t="shared" si="33"/>
        <v>187622636.92894101</v>
      </c>
    </row>
    <row r="37" spans="1:37" x14ac:dyDescent="0.25">
      <c r="A37" t="s">
        <v>21</v>
      </c>
      <c r="AG37">
        <v>1121599671.8708816</v>
      </c>
    </row>
    <row r="38" spans="1:37" x14ac:dyDescent="0.25">
      <c r="A38" t="s">
        <v>22</v>
      </c>
      <c r="B38">
        <v>2820</v>
      </c>
      <c r="AG38">
        <v>291443303.7900759</v>
      </c>
    </row>
    <row r="39" spans="1:37" x14ac:dyDescent="0.25">
      <c r="A39" t="s">
        <v>23</v>
      </c>
      <c r="B39">
        <f>250*1.41</f>
        <v>352.5</v>
      </c>
      <c r="C39">
        <f>672*1.41</f>
        <v>947.52</v>
      </c>
      <c r="D39" t="s">
        <v>36</v>
      </c>
      <c r="E39" s="2">
        <f>B39*3761.268*1000</f>
        <v>1325846970</v>
      </c>
      <c r="F39">
        <v>691</v>
      </c>
      <c r="AG39">
        <v>187597892.33763692</v>
      </c>
    </row>
    <row r="40" spans="1:37" x14ac:dyDescent="0.25">
      <c r="A40" t="s">
        <v>24</v>
      </c>
      <c r="B40">
        <v>1379</v>
      </c>
      <c r="C40">
        <f>1488*1.41</f>
        <v>2098.08</v>
      </c>
      <c r="F40">
        <v>1379</v>
      </c>
      <c r="G40">
        <v>2115</v>
      </c>
      <c r="AG40">
        <v>149043657.18729788</v>
      </c>
    </row>
    <row r="41" spans="1:37" x14ac:dyDescent="0.25">
      <c r="A41" t="s">
        <v>25</v>
      </c>
      <c r="B41">
        <v>1226</v>
      </c>
      <c r="C41">
        <f>1488*1.41</f>
        <v>2098.08</v>
      </c>
      <c r="F41">
        <v>1226</v>
      </c>
      <c r="AG41">
        <v>130556501.83244939</v>
      </c>
    </row>
    <row r="42" spans="1:37" x14ac:dyDescent="0.25">
      <c r="A42" t="s">
        <v>43</v>
      </c>
      <c r="B42">
        <f>1190*1.41</f>
        <v>1677.8999999999999</v>
      </c>
      <c r="AG42">
        <v>117936669.9675137</v>
      </c>
    </row>
    <row r="43" spans="1:37" x14ac:dyDescent="0.25">
      <c r="AG43">
        <v>109530321.21605581</v>
      </c>
    </row>
    <row r="45" spans="1:37" x14ac:dyDescent="0.25">
      <c r="A45" t="s">
        <v>38</v>
      </c>
      <c r="B45">
        <f>0.224/3600</f>
        <v>6.222222222222222E-5</v>
      </c>
    </row>
    <row r="47" spans="1:37" x14ac:dyDescent="0.25">
      <c r="A47" t="s">
        <v>33</v>
      </c>
      <c r="B47">
        <f>2.648*1.41/3.78541</f>
        <v>0.98633437329113627</v>
      </c>
      <c r="C47" t="s">
        <v>31</v>
      </c>
      <c r="D47">
        <f>9320*4.184</f>
        <v>38994.880000000005</v>
      </c>
      <c r="E47" t="s">
        <v>32</v>
      </c>
      <c r="F47">
        <f>B47/D47</f>
        <v>2.5293945597246002E-5</v>
      </c>
    </row>
    <row r="48" spans="1:37" x14ac:dyDescent="0.25">
      <c r="A48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2017-03-21T03:56:28Z</dcterms:modified>
</cp:coreProperties>
</file>